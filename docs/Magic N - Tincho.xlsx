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famui_imf_org/Documents/My Documents/Personal/"/>
    </mc:Choice>
  </mc:AlternateContent>
  <xr:revisionPtr revIDLastSave="0" documentId="8_{E3F7493E-99B3-4F96-A5B3-6D97FFCAC8F0}" xr6:coauthVersionLast="47" xr6:coauthVersionMax="47" xr10:uidLastSave="{00000000-0000-0000-0000-000000000000}"/>
  <bookViews>
    <workbookView xWindow="-105" yWindow="0" windowWidth="26010" windowHeight="20985" activeTab="3" xr2:uid="{E82E5B20-C560-4FEF-9B29-A38071871062}"/>
  </bookViews>
  <sheets>
    <sheet name="Inicio" sheetId="5" r:id="rId1"/>
    <sheet name="Proyección" sheetId="1" r:id="rId2"/>
    <sheet name="Magic Number" sheetId="4" r:id="rId3"/>
    <sheet name="Retir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4" l="1"/>
  <c r="A15" i="4" s="1"/>
  <c r="B15" i="4" s="1"/>
  <c r="D6" i="4"/>
  <c r="C13" i="4" s="1"/>
  <c r="A15" i="3"/>
  <c r="B15" i="3" s="1"/>
  <c r="A14" i="3"/>
  <c r="B14" i="3" s="1"/>
  <c r="E13" i="3"/>
  <c r="F13" i="3" s="1"/>
  <c r="D13" i="3"/>
  <c r="C13" i="3"/>
  <c r="B13" i="3"/>
  <c r="A13" i="3"/>
  <c r="F12" i="3"/>
  <c r="C12" i="3"/>
  <c r="D13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A14" i="1"/>
  <c r="A15" i="1" s="1"/>
  <c r="B15" i="1" s="1"/>
  <c r="G13" i="1"/>
  <c r="E13" i="1"/>
  <c r="C13" i="1"/>
  <c r="B13" i="1"/>
  <c r="A13" i="1"/>
  <c r="F12" i="1"/>
  <c r="C12" i="1"/>
  <c r="F13" i="4" l="1"/>
  <c r="A9" i="4"/>
  <c r="B14" i="4"/>
  <c r="C14" i="4"/>
  <c r="D14" i="4" s="1"/>
  <c r="E14" i="4" s="1"/>
  <c r="A16" i="4"/>
  <c r="G13" i="3"/>
  <c r="C14" i="3"/>
  <c r="A16" i="3"/>
  <c r="F13" i="1"/>
  <c r="C14" i="1" s="1"/>
  <c r="D14" i="1" s="1"/>
  <c r="A16" i="1"/>
  <c r="B14" i="1"/>
  <c r="F14" i="4" l="1"/>
  <c r="C15" i="4" s="1"/>
  <c r="D15" i="4" s="1"/>
  <c r="A17" i="4"/>
  <c r="B16" i="4"/>
  <c r="A17" i="3"/>
  <c r="B16" i="3"/>
  <c r="D14" i="3"/>
  <c r="E14" i="3"/>
  <c r="F14" i="3" s="1"/>
  <c r="G14" i="1"/>
  <c r="A17" i="1"/>
  <c r="B16" i="1"/>
  <c r="F14" i="1"/>
  <c r="C15" i="1" s="1"/>
  <c r="D15" i="1" s="1"/>
  <c r="E15" i="4" l="1"/>
  <c r="F15" i="4" s="1"/>
  <c r="C16" i="4" s="1"/>
  <c r="B17" i="4"/>
  <c r="A18" i="4"/>
  <c r="C15" i="3"/>
  <c r="G14" i="3"/>
  <c r="B17" i="3"/>
  <c r="A18" i="3"/>
  <c r="A18" i="1"/>
  <c r="B17" i="1"/>
  <c r="F15" i="1"/>
  <c r="C16" i="1" s="1"/>
  <c r="D16" i="1" s="1"/>
  <c r="G15" i="1"/>
  <c r="D16" i="4" l="1"/>
  <c r="E16" i="4" s="1"/>
  <c r="F16" i="4" s="1"/>
  <c r="C17" i="4" s="1"/>
  <c r="A19" i="4"/>
  <c r="B18" i="4"/>
  <c r="A19" i="3"/>
  <c r="B18" i="3"/>
  <c r="D15" i="3"/>
  <c r="F15" i="3" s="1"/>
  <c r="E15" i="3"/>
  <c r="G16" i="1"/>
  <c r="B18" i="1"/>
  <c r="A19" i="1"/>
  <c r="D17" i="4" l="1"/>
  <c r="E17" i="4" s="1"/>
  <c r="F17" i="4" s="1"/>
  <c r="C18" i="4" s="1"/>
  <c r="A20" i="4"/>
  <c r="B19" i="4"/>
  <c r="C16" i="3"/>
  <c r="G15" i="3"/>
  <c r="A20" i="3"/>
  <c r="B19" i="3"/>
  <c r="A20" i="1"/>
  <c r="B19" i="1"/>
  <c r="F16" i="1"/>
  <c r="C17" i="1" s="1"/>
  <c r="D17" i="1" s="1"/>
  <c r="D18" i="4" l="1"/>
  <c r="E18" i="4" s="1"/>
  <c r="F18" i="4" s="1"/>
  <c r="C19" i="4" s="1"/>
  <c r="B20" i="4"/>
  <c r="A21" i="4"/>
  <c r="A21" i="3"/>
  <c r="B20" i="3"/>
  <c r="D16" i="3"/>
  <c r="E16" i="3" s="1"/>
  <c r="F16" i="3" s="1"/>
  <c r="G17" i="1"/>
  <c r="B20" i="1"/>
  <c r="A21" i="1"/>
  <c r="D19" i="4" l="1"/>
  <c r="E19" i="4" s="1"/>
  <c r="F19" i="4" s="1"/>
  <c r="C20" i="4" s="1"/>
  <c r="A22" i="4"/>
  <c r="B21" i="4"/>
  <c r="C17" i="3"/>
  <c r="G16" i="3"/>
  <c r="B21" i="3"/>
  <c r="A22" i="3"/>
  <c r="B21" i="1"/>
  <c r="A22" i="1"/>
  <c r="F17" i="1"/>
  <c r="C18" i="1" s="1"/>
  <c r="D18" i="1" s="1"/>
  <c r="D20" i="4" l="1"/>
  <c r="E20" i="4" s="1"/>
  <c r="F20" i="4" s="1"/>
  <c r="C21" i="4" s="1"/>
  <c r="A23" i="4"/>
  <c r="B22" i="4"/>
  <c r="A23" i="3"/>
  <c r="B22" i="3"/>
  <c r="D17" i="3"/>
  <c r="F18" i="1"/>
  <c r="C19" i="1" s="1"/>
  <c r="D19" i="1" s="1"/>
  <c r="G18" i="1"/>
  <c r="A23" i="1"/>
  <c r="B22" i="1"/>
  <c r="D21" i="4" l="1"/>
  <c r="E21" i="4"/>
  <c r="F21" i="4" s="1"/>
  <c r="C22" i="4" s="1"/>
  <c r="B23" i="4"/>
  <c r="A24" i="4"/>
  <c r="E17" i="3"/>
  <c r="F17" i="3" s="1"/>
  <c r="A24" i="3"/>
  <c r="B23" i="3"/>
  <c r="G19" i="1"/>
  <c r="A24" i="1"/>
  <c r="B23" i="1"/>
  <c r="D22" i="4" l="1"/>
  <c r="E22" i="4"/>
  <c r="F22" i="4"/>
  <c r="C23" i="4" s="1"/>
  <c r="A25" i="4"/>
  <c r="B24" i="4"/>
  <c r="C18" i="3"/>
  <c r="G17" i="3"/>
  <c r="A25" i="3"/>
  <c r="B24" i="3"/>
  <c r="B24" i="1"/>
  <c r="A25" i="1"/>
  <c r="F19" i="1"/>
  <c r="C20" i="1" s="1"/>
  <c r="D20" i="1" s="1"/>
  <c r="B25" i="4" l="1"/>
  <c r="A26" i="4"/>
  <c r="D23" i="4"/>
  <c r="E23" i="4" s="1"/>
  <c r="A26" i="3"/>
  <c r="B25" i="3"/>
  <c r="D18" i="3"/>
  <c r="F20" i="1"/>
  <c r="C21" i="1" s="1"/>
  <c r="D21" i="1" s="1"/>
  <c r="G20" i="1"/>
  <c r="B25" i="1"/>
  <c r="A26" i="1"/>
  <c r="B26" i="4" l="1"/>
  <c r="A27" i="4"/>
  <c r="F23" i="4"/>
  <c r="C24" i="4" s="1"/>
  <c r="F18" i="3"/>
  <c r="E18" i="3"/>
  <c r="B26" i="3"/>
  <c r="A27" i="3"/>
  <c r="A27" i="1"/>
  <c r="B26" i="1"/>
  <c r="G21" i="1"/>
  <c r="D24" i="4" l="1"/>
  <c r="E24" i="4"/>
  <c r="F24" i="4" s="1"/>
  <c r="C25" i="4" s="1"/>
  <c r="A28" i="4"/>
  <c r="B27" i="4"/>
  <c r="C19" i="3"/>
  <c r="G18" i="3"/>
  <c r="A28" i="3"/>
  <c r="B27" i="3"/>
  <c r="B27" i="1"/>
  <c r="A28" i="1"/>
  <c r="F21" i="1"/>
  <c r="C22" i="1" s="1"/>
  <c r="D22" i="1" s="1"/>
  <c r="D25" i="4" l="1"/>
  <c r="A29" i="4"/>
  <c r="B28" i="4"/>
  <c r="D19" i="3"/>
  <c r="E19" i="3"/>
  <c r="F19" i="3" s="1"/>
  <c r="A29" i="3"/>
  <c r="B28" i="3"/>
  <c r="F22" i="1"/>
  <c r="C23" i="1" s="1"/>
  <c r="D23" i="1" s="1"/>
  <c r="G22" i="1"/>
  <c r="B28" i="1"/>
  <c r="A29" i="1"/>
  <c r="B29" i="4" l="1"/>
  <c r="A30" i="4"/>
  <c r="E25" i="4"/>
  <c r="F25" i="4" s="1"/>
  <c r="C26" i="4" s="1"/>
  <c r="C20" i="3"/>
  <c r="G19" i="3"/>
  <c r="A30" i="3"/>
  <c r="B29" i="3"/>
  <c r="B29" i="1"/>
  <c r="A30" i="1"/>
  <c r="G23" i="1"/>
  <c r="D26" i="4" l="1"/>
  <c r="A31" i="4"/>
  <c r="B30" i="4"/>
  <c r="D20" i="3"/>
  <c r="A31" i="3"/>
  <c r="B30" i="3"/>
  <c r="A31" i="1"/>
  <c r="B30" i="1"/>
  <c r="F23" i="1"/>
  <c r="C24" i="1" s="1"/>
  <c r="D24" i="1" s="1"/>
  <c r="E26" i="4" l="1"/>
  <c r="F26" i="4" s="1"/>
  <c r="C27" i="4" s="1"/>
  <c r="D27" i="4" s="1"/>
  <c r="A32" i="4"/>
  <c r="B31" i="4"/>
  <c r="B31" i="3"/>
  <c r="A32" i="3"/>
  <c r="E20" i="3"/>
  <c r="F20" i="3" s="1"/>
  <c r="F24" i="1"/>
  <c r="C25" i="1" s="1"/>
  <c r="D25" i="1" s="1"/>
  <c r="B31" i="1"/>
  <c r="A32" i="1"/>
  <c r="B32" i="4" l="1"/>
  <c r="A33" i="4"/>
  <c r="E27" i="4"/>
  <c r="F27" i="4" s="1"/>
  <c r="C28" i="4" s="1"/>
  <c r="C21" i="3"/>
  <c r="G20" i="3"/>
  <c r="A33" i="3"/>
  <c r="B32" i="3"/>
  <c r="G24" i="1"/>
  <c r="A33" i="1"/>
  <c r="B32" i="1"/>
  <c r="G25" i="1"/>
  <c r="D28" i="4" l="1"/>
  <c r="E28" i="4" s="1"/>
  <c r="F28" i="4" s="1"/>
  <c r="C29" i="4" s="1"/>
  <c r="B33" i="4"/>
  <c r="A34" i="4"/>
  <c r="B33" i="3"/>
  <c r="A34" i="3"/>
  <c r="D21" i="3"/>
  <c r="F21" i="3" s="1"/>
  <c r="E21" i="3"/>
  <c r="F25" i="1"/>
  <c r="C26" i="1" s="1"/>
  <c r="D26" i="1" s="1"/>
  <c r="A34" i="1"/>
  <c r="B33" i="1"/>
  <c r="D29" i="4" l="1"/>
  <c r="E29" i="4" s="1"/>
  <c r="F29" i="4" s="1"/>
  <c r="C30" i="4" s="1"/>
  <c r="A35" i="4"/>
  <c r="B34" i="4"/>
  <c r="C22" i="3"/>
  <c r="G21" i="3"/>
  <c r="B34" i="3"/>
  <c r="A35" i="3"/>
  <c r="B34" i="1"/>
  <c r="A35" i="1"/>
  <c r="G26" i="1"/>
  <c r="D30" i="4" l="1"/>
  <c r="E30" i="4" s="1"/>
  <c r="F30" i="4" s="1"/>
  <c r="C31" i="4" s="1"/>
  <c r="A36" i="4"/>
  <c r="B35" i="4"/>
  <c r="A36" i="3"/>
  <c r="B35" i="3"/>
  <c r="D22" i="3"/>
  <c r="E22" i="3"/>
  <c r="F22" i="3" s="1"/>
  <c r="F26" i="1"/>
  <c r="C27" i="1" s="1"/>
  <c r="D27" i="1" s="1"/>
  <c r="A36" i="1"/>
  <c r="B35" i="1"/>
  <c r="D31" i="4" l="1"/>
  <c r="E31" i="4" s="1"/>
  <c r="F31" i="4" s="1"/>
  <c r="C32" i="4" s="1"/>
  <c r="A37" i="4"/>
  <c r="B36" i="4"/>
  <c r="C23" i="3"/>
  <c r="G22" i="3"/>
  <c r="A37" i="3"/>
  <c r="B36" i="3"/>
  <c r="G27" i="1"/>
  <c r="B36" i="1"/>
  <c r="A37" i="1"/>
  <c r="F27" i="1"/>
  <c r="C28" i="1" s="1"/>
  <c r="D28" i="1" s="1"/>
  <c r="D32" i="4" l="1"/>
  <c r="E32" i="4" s="1"/>
  <c r="A38" i="4"/>
  <c r="B37" i="4"/>
  <c r="E23" i="3"/>
  <c r="F23" i="3" s="1"/>
  <c r="D23" i="3"/>
  <c r="A38" i="3"/>
  <c r="B37" i="3"/>
  <c r="F28" i="1"/>
  <c r="C29" i="1" s="1"/>
  <c r="D29" i="1" s="1"/>
  <c r="B37" i="1"/>
  <c r="A38" i="1"/>
  <c r="B38" i="4" l="1"/>
  <c r="A39" i="4"/>
  <c r="F32" i="4"/>
  <c r="C33" i="4" s="1"/>
  <c r="C24" i="3"/>
  <c r="G23" i="3"/>
  <c r="A39" i="3"/>
  <c r="B38" i="3"/>
  <c r="G29" i="1"/>
  <c r="A39" i="1"/>
  <c r="B38" i="1"/>
  <c r="G28" i="1"/>
  <c r="A40" i="4" l="1"/>
  <c r="B39" i="4"/>
  <c r="D33" i="4"/>
  <c r="D24" i="3"/>
  <c r="A40" i="3"/>
  <c r="B39" i="3"/>
  <c r="A40" i="1"/>
  <c r="B39" i="1"/>
  <c r="F29" i="1"/>
  <c r="C30" i="1" s="1"/>
  <c r="D30" i="1" s="1"/>
  <c r="E33" i="4" l="1"/>
  <c r="F33" i="4" s="1"/>
  <c r="C34" i="4" s="1"/>
  <c r="A41" i="4"/>
  <c r="B40" i="4"/>
  <c r="A41" i="3"/>
  <c r="B40" i="3"/>
  <c r="E24" i="3"/>
  <c r="F24" i="3" s="1"/>
  <c r="G30" i="1"/>
  <c r="B40" i="1"/>
  <c r="A41" i="1"/>
  <c r="D34" i="4" l="1"/>
  <c r="E34" i="4" s="1"/>
  <c r="F34" i="4" s="1"/>
  <c r="C35" i="4" s="1"/>
  <c r="B41" i="4"/>
  <c r="A42" i="4"/>
  <c r="C25" i="3"/>
  <c r="G24" i="3"/>
  <c r="B41" i="3"/>
  <c r="A42" i="3"/>
  <c r="A42" i="1"/>
  <c r="B41" i="1"/>
  <c r="F30" i="1"/>
  <c r="C31" i="1" s="1"/>
  <c r="D31" i="1" s="1"/>
  <c r="D35" i="4" l="1"/>
  <c r="E35" i="4"/>
  <c r="A43" i="4"/>
  <c r="B42" i="4"/>
  <c r="D25" i="3"/>
  <c r="E25" i="3" s="1"/>
  <c r="F25" i="3" s="1"/>
  <c r="B42" i="3"/>
  <c r="A43" i="3"/>
  <c r="F31" i="1"/>
  <c r="C32" i="1" s="1"/>
  <c r="D32" i="1" s="1"/>
  <c r="A43" i="1"/>
  <c r="B42" i="1"/>
  <c r="F35" i="4" l="1"/>
  <c r="C36" i="4" s="1"/>
  <c r="D36" i="4" s="1"/>
  <c r="A44" i="4"/>
  <c r="B43" i="4"/>
  <c r="C26" i="3"/>
  <c r="G25" i="3"/>
  <c r="A44" i="3"/>
  <c r="B43" i="3"/>
  <c r="F32" i="1"/>
  <c r="C33" i="1" s="1"/>
  <c r="D33" i="1" s="1"/>
  <c r="G31" i="1"/>
  <c r="B43" i="1"/>
  <c r="A44" i="1"/>
  <c r="B44" i="4" l="1"/>
  <c r="A45" i="4"/>
  <c r="E36" i="4"/>
  <c r="F36" i="4" s="1"/>
  <c r="C37" i="4" s="1"/>
  <c r="B44" i="3"/>
  <c r="A45" i="3"/>
  <c r="D26" i="3"/>
  <c r="E26" i="3"/>
  <c r="F26" i="3" s="1"/>
  <c r="G33" i="1"/>
  <c r="A45" i="1"/>
  <c r="B44" i="1"/>
  <c r="G32" i="1"/>
  <c r="D37" i="4" l="1"/>
  <c r="E37" i="4" s="1"/>
  <c r="A46" i="4"/>
  <c r="B45" i="4"/>
  <c r="C27" i="3"/>
  <c r="G26" i="3"/>
  <c r="A46" i="3"/>
  <c r="B45" i="3"/>
  <c r="B45" i="1"/>
  <c r="A46" i="1"/>
  <c r="F33" i="1"/>
  <c r="C34" i="1" s="1"/>
  <c r="D34" i="1" s="1"/>
  <c r="F37" i="4" l="1"/>
  <c r="C38" i="4" s="1"/>
  <c r="D38" i="4" s="1"/>
  <c r="E38" i="4" s="1"/>
  <c r="F38" i="4" s="1"/>
  <c r="C39" i="4" s="1"/>
  <c r="A47" i="4"/>
  <c r="B46" i="4"/>
  <c r="A47" i="3"/>
  <c r="B46" i="3"/>
  <c r="D27" i="3"/>
  <c r="G34" i="1"/>
  <c r="A47" i="1"/>
  <c r="B46" i="1"/>
  <c r="D39" i="4" l="1"/>
  <c r="B47" i="4"/>
  <c r="A48" i="4"/>
  <c r="E27" i="3"/>
  <c r="F27" i="3" s="1"/>
  <c r="B47" i="3"/>
  <c r="A48" i="3"/>
  <c r="F34" i="1"/>
  <c r="C35" i="1" s="1"/>
  <c r="D35" i="1" s="1"/>
  <c r="A48" i="1"/>
  <c r="B47" i="1"/>
  <c r="A49" i="4" l="1"/>
  <c r="B48" i="4"/>
  <c r="E39" i="4"/>
  <c r="F39" i="4" s="1"/>
  <c r="C40" i="4" s="1"/>
  <c r="C28" i="3"/>
  <c r="G27" i="3"/>
  <c r="A49" i="3"/>
  <c r="B48" i="3"/>
  <c r="A49" i="1"/>
  <c r="B48" i="1"/>
  <c r="G35" i="1"/>
  <c r="F35" i="1"/>
  <c r="C36" i="1" s="1"/>
  <c r="D36" i="1" s="1"/>
  <c r="D40" i="4" l="1"/>
  <c r="B49" i="4"/>
  <c r="A50" i="4"/>
  <c r="B49" i="3"/>
  <c r="A50" i="3"/>
  <c r="D28" i="3"/>
  <c r="E28" i="3" s="1"/>
  <c r="F28" i="3" s="1"/>
  <c r="G36" i="1"/>
  <c r="A50" i="1"/>
  <c r="B49" i="1"/>
  <c r="A51" i="4" l="1"/>
  <c r="B50" i="4"/>
  <c r="E40" i="4"/>
  <c r="F40" i="4" s="1"/>
  <c r="C41" i="4" s="1"/>
  <c r="C29" i="3"/>
  <c r="G28" i="3"/>
  <c r="A51" i="3"/>
  <c r="B50" i="3"/>
  <c r="B50" i="1"/>
  <c r="A51" i="1"/>
  <c r="F36" i="1"/>
  <c r="C37" i="1" s="1"/>
  <c r="D37" i="1" s="1"/>
  <c r="D41" i="4" l="1"/>
  <c r="E41" i="4" s="1"/>
  <c r="F41" i="4" s="1"/>
  <c r="C42" i="4" s="1"/>
  <c r="A52" i="4"/>
  <c r="B51" i="4"/>
  <c r="A52" i="3"/>
  <c r="B51" i="3"/>
  <c r="D29" i="3"/>
  <c r="E29" i="3" s="1"/>
  <c r="G37" i="1"/>
  <c r="A52" i="1"/>
  <c r="B51" i="1"/>
  <c r="D42" i="4" l="1"/>
  <c r="B52" i="4"/>
  <c r="A53" i="4"/>
  <c r="F29" i="3"/>
  <c r="B52" i="3"/>
  <c r="A53" i="3"/>
  <c r="B52" i="1"/>
  <c r="A53" i="1"/>
  <c r="F37" i="1"/>
  <c r="C38" i="1" s="1"/>
  <c r="D38" i="1" s="1"/>
  <c r="E42" i="4" l="1"/>
  <c r="F42" i="4" s="1"/>
  <c r="C43" i="4" s="1"/>
  <c r="A54" i="4"/>
  <c r="B53" i="4"/>
  <c r="A54" i="3"/>
  <c r="B53" i="3"/>
  <c r="C30" i="3"/>
  <c r="G29" i="3"/>
  <c r="G38" i="1"/>
  <c r="F38" i="1"/>
  <c r="C39" i="1" s="1"/>
  <c r="D39" i="1" s="1"/>
  <c r="B53" i="1"/>
  <c r="A54" i="1"/>
  <c r="D43" i="4" l="1"/>
  <c r="E43" i="4" s="1"/>
  <c r="F43" i="4" s="1"/>
  <c r="C44" i="4" s="1"/>
  <c r="D44" i="4" s="1"/>
  <c r="B54" i="4"/>
  <c r="A55" i="4"/>
  <c r="D30" i="3"/>
  <c r="A55" i="3"/>
  <c r="B54" i="3"/>
  <c r="A55" i="1"/>
  <c r="B54" i="1"/>
  <c r="G39" i="1"/>
  <c r="A56" i="4" l="1"/>
  <c r="B55" i="4"/>
  <c r="E44" i="4"/>
  <c r="F44" i="4" s="1"/>
  <c r="C45" i="4" s="1"/>
  <c r="A56" i="3"/>
  <c r="B55" i="3"/>
  <c r="E30" i="3"/>
  <c r="F30" i="3" s="1"/>
  <c r="F39" i="1"/>
  <c r="C40" i="1" s="1"/>
  <c r="D40" i="1" s="1"/>
  <c r="A56" i="1"/>
  <c r="B55" i="1"/>
  <c r="D45" i="4" l="1"/>
  <c r="E45" i="4" s="1"/>
  <c r="F45" i="4" s="1"/>
  <c r="C46" i="4" s="1"/>
  <c r="A57" i="4"/>
  <c r="B56" i="4"/>
  <c r="C31" i="3"/>
  <c r="G30" i="3"/>
  <c r="A57" i="3"/>
  <c r="B56" i="3"/>
  <c r="B56" i="1"/>
  <c r="A57" i="1"/>
  <c r="G40" i="1"/>
  <c r="D46" i="4" l="1"/>
  <c r="E46" i="4" s="1"/>
  <c r="F46" i="4" s="1"/>
  <c r="C47" i="4" s="1"/>
  <c r="B57" i="4"/>
  <c r="A58" i="4"/>
  <c r="E31" i="3"/>
  <c r="F31" i="3" s="1"/>
  <c r="D31" i="3"/>
  <c r="B57" i="3"/>
  <c r="A58" i="3"/>
  <c r="F40" i="1"/>
  <c r="C41" i="1" s="1"/>
  <c r="D41" i="1" s="1"/>
  <c r="A58" i="1"/>
  <c r="B57" i="1"/>
  <c r="D47" i="4" l="1"/>
  <c r="E47" i="4" s="1"/>
  <c r="A59" i="4"/>
  <c r="B58" i="4"/>
  <c r="C32" i="3"/>
  <c r="G31" i="3"/>
  <c r="B58" i="3"/>
  <c r="A59" i="3"/>
  <c r="A59" i="1"/>
  <c r="B58" i="1"/>
  <c r="G41" i="1"/>
  <c r="A60" i="4" l="1"/>
  <c r="B59" i="4"/>
  <c r="F47" i="4"/>
  <c r="C48" i="4" s="1"/>
  <c r="D32" i="3"/>
  <c r="A60" i="3"/>
  <c r="B59" i="3"/>
  <c r="F41" i="1"/>
  <c r="C42" i="1" s="1"/>
  <c r="D42" i="1" s="1"/>
  <c r="B59" i="1"/>
  <c r="A60" i="1"/>
  <c r="D48" i="4" l="1"/>
  <c r="B60" i="4"/>
  <c r="A61" i="4"/>
  <c r="B60" i="3"/>
  <c r="A61" i="3"/>
  <c r="E32" i="3"/>
  <c r="F32" i="3" s="1"/>
  <c r="A61" i="1"/>
  <c r="B60" i="1"/>
  <c r="G42" i="1"/>
  <c r="A62" i="4" l="1"/>
  <c r="B61" i="4"/>
  <c r="E48" i="4"/>
  <c r="F48" i="4" s="1"/>
  <c r="C49" i="4" s="1"/>
  <c r="C33" i="3"/>
  <c r="G32" i="3"/>
  <c r="A62" i="3"/>
  <c r="B61" i="3"/>
  <c r="F42" i="1"/>
  <c r="C43" i="1" s="1"/>
  <c r="D43" i="1" s="1"/>
  <c r="B61" i="1"/>
  <c r="A62" i="1"/>
  <c r="D49" i="4" l="1"/>
  <c r="E49" i="4" s="1"/>
  <c r="F49" i="4" s="1"/>
  <c r="C50" i="4" s="1"/>
  <c r="A63" i="4"/>
  <c r="B62" i="4"/>
  <c r="A63" i="3"/>
  <c r="B62" i="3"/>
  <c r="D33" i="3"/>
  <c r="F33" i="3" s="1"/>
  <c r="E33" i="3"/>
  <c r="F43" i="1"/>
  <c r="C44" i="1" s="1"/>
  <c r="D44" i="1" s="1"/>
  <c r="G43" i="1"/>
  <c r="A63" i="1"/>
  <c r="B62" i="1"/>
  <c r="D50" i="4" l="1"/>
  <c r="E50" i="4"/>
  <c r="F50" i="4" s="1"/>
  <c r="C51" i="4" s="1"/>
  <c r="A64" i="4"/>
  <c r="B63" i="4"/>
  <c r="C34" i="3"/>
  <c r="G33" i="3"/>
  <c r="B63" i="3"/>
  <c r="A64" i="3"/>
  <c r="F44" i="1"/>
  <c r="C45" i="1" s="1"/>
  <c r="D45" i="1" s="1"/>
  <c r="A64" i="1"/>
  <c r="B63" i="1"/>
  <c r="G44" i="1"/>
  <c r="D51" i="4" l="1"/>
  <c r="B64" i="4"/>
  <c r="A65" i="4"/>
  <c r="D34" i="3"/>
  <c r="F34" i="3" s="1"/>
  <c r="E34" i="3"/>
  <c r="A65" i="3"/>
  <c r="B64" i="3"/>
  <c r="G45" i="1"/>
  <c r="A65" i="1"/>
  <c r="B64" i="1"/>
  <c r="F45" i="1"/>
  <c r="C46" i="1" s="1"/>
  <c r="D46" i="1" s="1"/>
  <c r="B65" i="4" l="1"/>
  <c r="A66" i="4"/>
  <c r="E51" i="4"/>
  <c r="F51" i="4" s="1"/>
  <c r="C52" i="4" s="1"/>
  <c r="C35" i="3"/>
  <c r="G34" i="3"/>
  <c r="B65" i="3"/>
  <c r="A66" i="3"/>
  <c r="F46" i="1"/>
  <c r="C47" i="1" s="1"/>
  <c r="D47" i="1" s="1"/>
  <c r="A66" i="1"/>
  <c r="B65" i="1"/>
  <c r="D52" i="4" l="1"/>
  <c r="A67" i="4"/>
  <c r="B66" i="4"/>
  <c r="A67" i="3"/>
  <c r="B66" i="3"/>
  <c r="D35" i="3"/>
  <c r="E35" i="3"/>
  <c r="F35" i="3" s="1"/>
  <c r="G46" i="1"/>
  <c r="F47" i="1"/>
  <c r="C48" i="1" s="1"/>
  <c r="D48" i="1" s="1"/>
  <c r="G47" i="1"/>
  <c r="A67" i="1"/>
  <c r="B66" i="1"/>
  <c r="A68" i="4" l="1"/>
  <c r="B67" i="4"/>
  <c r="E52" i="4"/>
  <c r="F52" i="4" s="1"/>
  <c r="C53" i="4" s="1"/>
  <c r="C36" i="3"/>
  <c r="G35" i="3"/>
  <c r="A68" i="3"/>
  <c r="B67" i="3"/>
  <c r="G48" i="1"/>
  <c r="A68" i="1"/>
  <c r="B67" i="1"/>
  <c r="D53" i="4" l="1"/>
  <c r="B68" i="4"/>
  <c r="A69" i="4"/>
  <c r="D36" i="3"/>
  <c r="E36" i="3" s="1"/>
  <c r="B68" i="3"/>
  <c r="A69" i="3"/>
  <c r="B68" i="1"/>
  <c r="A69" i="1"/>
  <c r="F48" i="1"/>
  <c r="C49" i="1" s="1"/>
  <c r="D49" i="1" s="1"/>
  <c r="A70" i="4" l="1"/>
  <c r="B69" i="4"/>
  <c r="E53" i="4"/>
  <c r="F53" i="4" s="1"/>
  <c r="C54" i="4" s="1"/>
  <c r="F36" i="3"/>
  <c r="A70" i="3"/>
  <c r="B69" i="3"/>
  <c r="A70" i="1"/>
  <c r="B69" i="1"/>
  <c r="F49" i="1"/>
  <c r="C50" i="1" s="1"/>
  <c r="D50" i="1" s="1"/>
  <c r="D54" i="4" l="1"/>
  <c r="A71" i="4"/>
  <c r="B70" i="4"/>
  <c r="B70" i="3"/>
  <c r="A71" i="3"/>
  <c r="C37" i="3"/>
  <c r="G36" i="3"/>
  <c r="F50" i="1"/>
  <c r="C51" i="1" s="1"/>
  <c r="D51" i="1" s="1"/>
  <c r="G49" i="1"/>
  <c r="A71" i="1"/>
  <c r="B70" i="1"/>
  <c r="A72" i="4" l="1"/>
  <c r="B71" i="4"/>
  <c r="E54" i="4"/>
  <c r="F54" i="4" s="1"/>
  <c r="C55" i="4" s="1"/>
  <c r="D37" i="3"/>
  <c r="A72" i="3"/>
  <c r="B71" i="3"/>
  <c r="G50" i="1"/>
  <c r="A72" i="1"/>
  <c r="B71" i="1"/>
  <c r="F51" i="1"/>
  <c r="C52" i="1" s="1"/>
  <c r="D52" i="1" s="1"/>
  <c r="G51" i="1"/>
  <c r="D55" i="4" l="1"/>
  <c r="A73" i="4"/>
  <c r="B72" i="4"/>
  <c r="A73" i="3"/>
  <c r="B72" i="3"/>
  <c r="E37" i="3"/>
  <c r="F37" i="3" s="1"/>
  <c r="F52" i="1"/>
  <c r="C53" i="1" s="1"/>
  <c r="D53" i="1" s="1"/>
  <c r="B72" i="1"/>
  <c r="A73" i="1"/>
  <c r="B73" i="4" l="1"/>
  <c r="A74" i="4"/>
  <c r="E55" i="4"/>
  <c r="F55" i="4" s="1"/>
  <c r="C56" i="4" s="1"/>
  <c r="C38" i="3"/>
  <c r="G37" i="3"/>
  <c r="B73" i="3"/>
  <c r="A74" i="3"/>
  <c r="F53" i="1"/>
  <c r="C54" i="1" s="1"/>
  <c r="D54" i="1" s="1"/>
  <c r="A74" i="1"/>
  <c r="B73" i="1"/>
  <c r="G52" i="1"/>
  <c r="D56" i="4" l="1"/>
  <c r="E56" i="4"/>
  <c r="B74" i="4"/>
  <c r="A75" i="4"/>
  <c r="B74" i="3"/>
  <c r="A75" i="3"/>
  <c r="D38" i="3"/>
  <c r="G53" i="1"/>
  <c r="F54" i="1"/>
  <c r="C55" i="1" s="1"/>
  <c r="D55" i="1" s="1"/>
  <c r="G54" i="1"/>
  <c r="A75" i="1"/>
  <c r="B74" i="1"/>
  <c r="F56" i="4" l="1"/>
  <c r="C57" i="4" s="1"/>
  <c r="D57" i="4" s="1"/>
  <c r="A76" i="4"/>
  <c r="B75" i="4"/>
  <c r="E38" i="3"/>
  <c r="F38" i="3" s="1"/>
  <c r="B75" i="3"/>
  <c r="A76" i="3"/>
  <c r="G55" i="1"/>
  <c r="B75" i="1"/>
  <c r="A76" i="1"/>
  <c r="E57" i="4" l="1"/>
  <c r="F57" i="4" s="1"/>
  <c r="C58" i="4" s="1"/>
  <c r="D58" i="4"/>
  <c r="E58" i="4" s="1"/>
  <c r="F58" i="4" s="1"/>
  <c r="C59" i="4" s="1"/>
  <c r="B76" i="4"/>
  <c r="A77" i="4"/>
  <c r="C39" i="3"/>
  <c r="G38" i="3"/>
  <c r="B76" i="3"/>
  <c r="A77" i="3"/>
  <c r="A77" i="1"/>
  <c r="B76" i="1"/>
  <c r="F55" i="1"/>
  <c r="C56" i="1" s="1"/>
  <c r="D56" i="1" s="1"/>
  <c r="D59" i="4" l="1"/>
  <c r="A78" i="4"/>
  <c r="B77" i="4"/>
  <c r="D39" i="3"/>
  <c r="A78" i="3"/>
  <c r="B77" i="3"/>
  <c r="B77" i="1"/>
  <c r="A78" i="1"/>
  <c r="F56" i="1"/>
  <c r="C57" i="1" s="1"/>
  <c r="D57" i="1" s="1"/>
  <c r="A79" i="4" l="1"/>
  <c r="B78" i="4"/>
  <c r="E59" i="4"/>
  <c r="F59" i="4" s="1"/>
  <c r="C60" i="4" s="1"/>
  <c r="F39" i="3"/>
  <c r="B78" i="3"/>
  <c r="A79" i="3"/>
  <c r="E39" i="3"/>
  <c r="G56" i="1"/>
  <c r="G57" i="1"/>
  <c r="A79" i="1"/>
  <c r="B78" i="1"/>
  <c r="D60" i="4" l="1"/>
  <c r="A80" i="4"/>
  <c r="B79" i="4"/>
  <c r="C40" i="3"/>
  <c r="G39" i="3"/>
  <c r="A80" i="3"/>
  <c r="B79" i="3"/>
  <c r="F57" i="1"/>
  <c r="C58" i="1" s="1"/>
  <c r="D58" i="1" s="1"/>
  <c r="A80" i="1"/>
  <c r="B79" i="1"/>
  <c r="B80" i="4" l="1"/>
  <c r="A81" i="4"/>
  <c r="E60" i="4"/>
  <c r="F60" i="4" s="1"/>
  <c r="C61" i="4" s="1"/>
  <c r="D40" i="3"/>
  <c r="F40" i="3" s="1"/>
  <c r="E40" i="3"/>
  <c r="A81" i="3"/>
  <c r="B80" i="3"/>
  <c r="G58" i="1"/>
  <c r="F58" i="1"/>
  <c r="C59" i="1" s="1"/>
  <c r="D59" i="1" s="1"/>
  <c r="B80" i="1"/>
  <c r="A81" i="1"/>
  <c r="D61" i="4" l="1"/>
  <c r="B81" i="4"/>
  <c r="A82" i="4"/>
  <c r="C41" i="3"/>
  <c r="G40" i="3"/>
  <c r="B81" i="3"/>
  <c r="A82" i="3"/>
  <c r="G59" i="1"/>
  <c r="F59" i="1"/>
  <c r="C60" i="1" s="1"/>
  <c r="D60" i="1" s="1"/>
  <c r="A82" i="1"/>
  <c r="B81" i="1"/>
  <c r="A83" i="4" l="1"/>
  <c r="B82" i="4"/>
  <c r="E61" i="4"/>
  <c r="F61" i="4" s="1"/>
  <c r="C62" i="4" s="1"/>
  <c r="D41" i="3"/>
  <c r="F41" i="3" s="1"/>
  <c r="E41" i="3"/>
  <c r="A83" i="3"/>
  <c r="B82" i="3"/>
  <c r="A83" i="1"/>
  <c r="B82" i="1"/>
  <c r="F60" i="1"/>
  <c r="C61" i="1" s="1"/>
  <c r="D61" i="1" s="1"/>
  <c r="D62" i="4" l="1"/>
  <c r="A84" i="4"/>
  <c r="B83" i="4"/>
  <c r="C42" i="3"/>
  <c r="G41" i="3"/>
  <c r="B83" i="3"/>
  <c r="A84" i="3"/>
  <c r="F61" i="1"/>
  <c r="C62" i="1" s="1"/>
  <c r="D62" i="1" s="1"/>
  <c r="G61" i="1"/>
  <c r="G60" i="1"/>
  <c r="A84" i="1"/>
  <c r="B83" i="1"/>
  <c r="B84" i="4" l="1"/>
  <c r="A85" i="4"/>
  <c r="E62" i="4"/>
  <c r="F62" i="4" s="1"/>
  <c r="C63" i="4" s="1"/>
  <c r="A85" i="3"/>
  <c r="B84" i="3"/>
  <c r="D42" i="3"/>
  <c r="E42" i="3" s="1"/>
  <c r="B84" i="1"/>
  <c r="A85" i="1"/>
  <c r="G62" i="1"/>
  <c r="D63" i="4" l="1"/>
  <c r="A86" i="4"/>
  <c r="B85" i="4"/>
  <c r="F42" i="3"/>
  <c r="A86" i="3"/>
  <c r="B85" i="3"/>
  <c r="F62" i="1"/>
  <c r="C63" i="1" s="1"/>
  <c r="D63" i="1" s="1"/>
  <c r="A86" i="1"/>
  <c r="B85" i="1"/>
  <c r="A87" i="4" l="1"/>
  <c r="B86" i="4"/>
  <c r="E63" i="4"/>
  <c r="F63" i="4" s="1"/>
  <c r="C64" i="4" s="1"/>
  <c r="B86" i="3"/>
  <c r="A87" i="3"/>
  <c r="C43" i="3"/>
  <c r="G42" i="3"/>
  <c r="G63" i="1"/>
  <c r="A87" i="1"/>
  <c r="B86" i="1"/>
  <c r="D64" i="4" l="1"/>
  <c r="E64" i="4" s="1"/>
  <c r="F64" i="4" s="1"/>
  <c r="C65" i="4" s="1"/>
  <c r="B87" i="4"/>
  <c r="A88" i="4"/>
  <c r="A88" i="3"/>
  <c r="B87" i="3"/>
  <c r="D43" i="3"/>
  <c r="F63" i="1"/>
  <c r="C64" i="1" s="1"/>
  <c r="D64" i="1" s="1"/>
  <c r="A88" i="1"/>
  <c r="B87" i="1"/>
  <c r="D65" i="4" l="1"/>
  <c r="E65" i="4" s="1"/>
  <c r="F65" i="4" s="1"/>
  <c r="C66" i="4" s="1"/>
  <c r="B88" i="4"/>
  <c r="A89" i="4"/>
  <c r="E43" i="3"/>
  <c r="F43" i="3" s="1"/>
  <c r="A89" i="3"/>
  <c r="B88" i="3"/>
  <c r="G64" i="1"/>
  <c r="B88" i="1"/>
  <c r="A89" i="1"/>
  <c r="D66" i="4" l="1"/>
  <c r="E66" i="4" s="1"/>
  <c r="A90" i="4"/>
  <c r="B89" i="4"/>
  <c r="C44" i="3"/>
  <c r="G43" i="3"/>
  <c r="B89" i="3"/>
  <c r="A90" i="3"/>
  <c r="F64" i="1"/>
  <c r="C65" i="1" s="1"/>
  <c r="D65" i="1" s="1"/>
  <c r="A90" i="1"/>
  <c r="B89" i="1"/>
  <c r="B90" i="4" l="1"/>
  <c r="A91" i="4"/>
  <c r="F66" i="4"/>
  <c r="C67" i="4" s="1"/>
  <c r="B90" i="3"/>
  <c r="A91" i="3"/>
  <c r="D44" i="3"/>
  <c r="E44" i="3" s="1"/>
  <c r="F44" i="3" s="1"/>
  <c r="F65" i="1"/>
  <c r="C66" i="1" s="1"/>
  <c r="D66" i="1" s="1"/>
  <c r="G65" i="1"/>
  <c r="A91" i="1"/>
  <c r="B90" i="1"/>
  <c r="D67" i="4" l="1"/>
  <c r="E67" i="4" s="1"/>
  <c r="A92" i="4"/>
  <c r="B91" i="4"/>
  <c r="C45" i="3"/>
  <c r="G44" i="3"/>
  <c r="B91" i="3"/>
  <c r="A92" i="3"/>
  <c r="G66" i="1"/>
  <c r="F66" i="1"/>
  <c r="C67" i="1" s="1"/>
  <c r="B91" i="1"/>
  <c r="A92" i="1"/>
  <c r="F67" i="4" l="1"/>
  <c r="C68" i="4" s="1"/>
  <c r="D68" i="4" s="1"/>
  <c r="E68" i="4" s="1"/>
  <c r="A93" i="4"/>
  <c r="B92" i="4"/>
  <c r="A93" i="3"/>
  <c r="B92" i="3"/>
  <c r="D45" i="3"/>
  <c r="E45" i="3" s="1"/>
  <c r="D67" i="1"/>
  <c r="F67" i="1" s="1"/>
  <c r="C68" i="1" s="1"/>
  <c r="A93" i="1"/>
  <c r="B92" i="1"/>
  <c r="A94" i="4" l="1"/>
  <c r="B93" i="4"/>
  <c r="F68" i="4"/>
  <c r="C69" i="4" s="1"/>
  <c r="A94" i="3"/>
  <c r="B93" i="3"/>
  <c r="F45" i="3"/>
  <c r="G67" i="1"/>
  <c r="D68" i="1"/>
  <c r="F68" i="1" s="1"/>
  <c r="C69" i="1" s="1"/>
  <c r="D69" i="1" s="1"/>
  <c r="G68" i="1"/>
  <c r="B93" i="1"/>
  <c r="A94" i="1"/>
  <c r="G69" i="1"/>
  <c r="D69" i="4" l="1"/>
  <c r="A95" i="4"/>
  <c r="B94" i="4"/>
  <c r="C46" i="3"/>
  <c r="G45" i="3"/>
  <c r="B94" i="3"/>
  <c r="A95" i="3"/>
  <c r="F69" i="1"/>
  <c r="C70" i="1" s="1"/>
  <c r="D70" i="1" s="1"/>
  <c r="A95" i="1"/>
  <c r="B94" i="1"/>
  <c r="B95" i="4" l="1"/>
  <c r="A96" i="4"/>
  <c r="E69" i="4"/>
  <c r="F69" i="4" s="1"/>
  <c r="C70" i="4" s="1"/>
  <c r="A96" i="3"/>
  <c r="B95" i="3"/>
  <c r="D46" i="3"/>
  <c r="E46" i="3" s="1"/>
  <c r="A96" i="1"/>
  <c r="B95" i="1"/>
  <c r="F70" i="1"/>
  <c r="C71" i="1" s="1"/>
  <c r="D71" i="1" s="1"/>
  <c r="G70" i="1"/>
  <c r="D70" i="4" l="1"/>
  <c r="B96" i="4"/>
  <c r="A97" i="4"/>
  <c r="F46" i="3"/>
  <c r="A97" i="3"/>
  <c r="B96" i="3"/>
  <c r="F71" i="1"/>
  <c r="C72" i="1" s="1"/>
  <c r="D72" i="1" s="1"/>
  <c r="G71" i="1"/>
  <c r="B96" i="1"/>
  <c r="A97" i="1"/>
  <c r="A98" i="4" l="1"/>
  <c r="B97" i="4"/>
  <c r="E70" i="4"/>
  <c r="F70" i="4" s="1"/>
  <c r="C71" i="4" s="1"/>
  <c r="B97" i="3"/>
  <c r="A98" i="3"/>
  <c r="C47" i="3"/>
  <c r="G46" i="3"/>
  <c r="G72" i="1"/>
  <c r="A98" i="1"/>
  <c r="B97" i="1"/>
  <c r="D71" i="4" l="1"/>
  <c r="E71" i="4" s="1"/>
  <c r="A99" i="4"/>
  <c r="B98" i="4"/>
  <c r="E47" i="3"/>
  <c r="D47" i="3"/>
  <c r="F47" i="3" s="1"/>
  <c r="A99" i="3"/>
  <c r="B98" i="3"/>
  <c r="A99" i="1"/>
  <c r="B98" i="1"/>
  <c r="F72" i="1"/>
  <c r="C73" i="1" s="1"/>
  <c r="D73" i="1" s="1"/>
  <c r="B99" i="4" l="1"/>
  <c r="A100" i="4"/>
  <c r="F71" i="4"/>
  <c r="C72" i="4" s="1"/>
  <c r="C48" i="3"/>
  <c r="G47" i="3"/>
  <c r="B99" i="3"/>
  <c r="A100" i="3"/>
  <c r="G73" i="1"/>
  <c r="A100" i="1"/>
  <c r="B99" i="1"/>
  <c r="D72" i="4" l="1"/>
  <c r="A101" i="4"/>
  <c r="B100" i="4"/>
  <c r="D48" i="3"/>
  <c r="E48" i="3" s="1"/>
  <c r="B100" i="3"/>
  <c r="A101" i="3"/>
  <c r="B100" i="1"/>
  <c r="A101" i="1"/>
  <c r="F73" i="1"/>
  <c r="C74" i="1" s="1"/>
  <c r="D74" i="1" s="1"/>
  <c r="B101" i="4" l="1"/>
  <c r="A102" i="4"/>
  <c r="E72" i="4"/>
  <c r="F72" i="4" s="1"/>
  <c r="C73" i="4" s="1"/>
  <c r="F48" i="3"/>
  <c r="A102" i="3"/>
  <c r="B101" i="3"/>
  <c r="G74" i="1"/>
  <c r="A102" i="1"/>
  <c r="B101" i="1"/>
  <c r="D73" i="4" l="1"/>
  <c r="E73" i="4"/>
  <c r="F73" i="4" s="1"/>
  <c r="C74" i="4" s="1"/>
  <c r="A103" i="4"/>
  <c r="B102" i="4"/>
  <c r="B102" i="3"/>
  <c r="A103" i="3"/>
  <c r="C49" i="3"/>
  <c r="G48" i="3"/>
  <c r="B102" i="1"/>
  <c r="A103" i="1"/>
  <c r="F74" i="1"/>
  <c r="C75" i="1" s="1"/>
  <c r="D75" i="1" s="1"/>
  <c r="D74" i="4" l="1"/>
  <c r="B103" i="4"/>
  <c r="A104" i="4"/>
  <c r="D49" i="3"/>
  <c r="A104" i="3"/>
  <c r="B103" i="3"/>
  <c r="G75" i="1"/>
  <c r="A104" i="1"/>
  <c r="B103" i="1"/>
  <c r="B104" i="4" l="1"/>
  <c r="A105" i="4"/>
  <c r="E74" i="4"/>
  <c r="F74" i="4" s="1"/>
  <c r="C75" i="4" s="1"/>
  <c r="E49" i="3"/>
  <c r="F49" i="3" s="1"/>
  <c r="A105" i="3"/>
  <c r="B104" i="3"/>
  <c r="B104" i="1"/>
  <c r="A105" i="1"/>
  <c r="F75" i="1"/>
  <c r="C76" i="1" s="1"/>
  <c r="D76" i="1" s="1"/>
  <c r="D75" i="4" l="1"/>
  <c r="E75" i="4" s="1"/>
  <c r="A106" i="4"/>
  <c r="B105" i="4"/>
  <c r="C50" i="3"/>
  <c r="G49" i="3"/>
  <c r="B105" i="3"/>
  <c r="A106" i="3"/>
  <c r="F76" i="1"/>
  <c r="C77" i="1" s="1"/>
  <c r="D77" i="1" s="1"/>
  <c r="A106" i="1"/>
  <c r="B105" i="1"/>
  <c r="F75" i="4" l="1"/>
  <c r="C76" i="4" s="1"/>
  <c r="D76" i="4" s="1"/>
  <c r="A107" i="4"/>
  <c r="B106" i="4"/>
  <c r="B106" i="3"/>
  <c r="A107" i="3"/>
  <c r="D50" i="3"/>
  <c r="E50" i="3"/>
  <c r="F50" i="3"/>
  <c r="C51" i="3" s="1"/>
  <c r="F77" i="1"/>
  <c r="C78" i="1" s="1"/>
  <c r="D78" i="1" s="1"/>
  <c r="G77" i="1"/>
  <c r="A107" i="1"/>
  <c r="B106" i="1"/>
  <c r="G76" i="1"/>
  <c r="E76" i="4" l="1"/>
  <c r="F76" i="4" s="1"/>
  <c r="C77" i="4" s="1"/>
  <c r="D77" i="4"/>
  <c r="E77" i="4" s="1"/>
  <c r="B107" i="4"/>
  <c r="A108" i="4"/>
  <c r="D51" i="3"/>
  <c r="E51" i="3"/>
  <c r="F51" i="3" s="1"/>
  <c r="G50" i="3"/>
  <c r="A108" i="3"/>
  <c r="B107" i="3"/>
  <c r="B107" i="1"/>
  <c r="A108" i="1"/>
  <c r="G78" i="1"/>
  <c r="A109" i="4" l="1"/>
  <c r="B108" i="4"/>
  <c r="F77" i="4"/>
  <c r="C78" i="4" s="1"/>
  <c r="C52" i="3"/>
  <c r="G51" i="3"/>
  <c r="B108" i="3"/>
  <c r="A109" i="3"/>
  <c r="F78" i="1"/>
  <c r="C79" i="1" s="1"/>
  <c r="D79" i="1" s="1"/>
  <c r="A109" i="1"/>
  <c r="B108" i="1"/>
  <c r="D78" i="4" l="1"/>
  <c r="E78" i="4" s="1"/>
  <c r="F78" i="4" s="1"/>
  <c r="C79" i="4" s="1"/>
  <c r="A110" i="4"/>
  <c r="B109" i="4"/>
  <c r="A110" i="3"/>
  <c r="B109" i="3"/>
  <c r="D52" i="3"/>
  <c r="E52" i="3"/>
  <c r="F52" i="3" s="1"/>
  <c r="B109" i="1"/>
  <c r="A110" i="1"/>
  <c r="F79" i="1"/>
  <c r="C80" i="1" s="1"/>
  <c r="D80" i="1" s="1"/>
  <c r="G79" i="1"/>
  <c r="D79" i="4" l="1"/>
  <c r="A111" i="4"/>
  <c r="B110" i="4"/>
  <c r="C53" i="3"/>
  <c r="G52" i="3"/>
  <c r="A111" i="3"/>
  <c r="B110" i="3"/>
  <c r="G80" i="1"/>
  <c r="A111" i="1"/>
  <c r="B110" i="1"/>
  <c r="E79" i="4" l="1"/>
  <c r="F79" i="4" s="1"/>
  <c r="C80" i="4" s="1"/>
  <c r="D80" i="4" s="1"/>
  <c r="E80" i="4" s="1"/>
  <c r="B111" i="4"/>
  <c r="A112" i="4"/>
  <c r="B111" i="3"/>
  <c r="A112" i="3"/>
  <c r="D53" i="3"/>
  <c r="A112" i="1"/>
  <c r="B111" i="1"/>
  <c r="F80" i="1"/>
  <c r="C81" i="1" s="1"/>
  <c r="D81" i="1" s="1"/>
  <c r="A113" i="4" l="1"/>
  <c r="B112" i="4"/>
  <c r="F80" i="4"/>
  <c r="C81" i="4" s="1"/>
  <c r="E53" i="3"/>
  <c r="F53" i="3" s="1"/>
  <c r="A113" i="3"/>
  <c r="B112" i="3"/>
  <c r="G81" i="1"/>
  <c r="B112" i="1"/>
  <c r="A113" i="1"/>
  <c r="D81" i="4" l="1"/>
  <c r="E81" i="4"/>
  <c r="A114" i="4"/>
  <c r="B113" i="4"/>
  <c r="C54" i="3"/>
  <c r="G53" i="3"/>
  <c r="B113" i="3"/>
  <c r="A114" i="3"/>
  <c r="A114" i="1"/>
  <c r="B113" i="1"/>
  <c r="F81" i="1"/>
  <c r="C82" i="1" s="1"/>
  <c r="D82" i="1" s="1"/>
  <c r="F81" i="4" l="1"/>
  <c r="C82" i="4" s="1"/>
  <c r="D82" i="4" s="1"/>
  <c r="E82" i="4" s="1"/>
  <c r="F82" i="4" s="1"/>
  <c r="C83" i="4" s="1"/>
  <c r="A115" i="4"/>
  <c r="B114" i="4"/>
  <c r="D54" i="3"/>
  <c r="B114" i="3"/>
  <c r="A115" i="3"/>
  <c r="F82" i="1"/>
  <c r="C83" i="1" s="1"/>
  <c r="D83" i="1" s="1"/>
  <c r="A115" i="1"/>
  <c r="B114" i="1"/>
  <c r="D83" i="4" l="1"/>
  <c r="E83" i="4" s="1"/>
  <c r="F83" i="4" s="1"/>
  <c r="C84" i="4" s="1"/>
  <c r="A116" i="4"/>
  <c r="B115" i="4"/>
  <c r="F54" i="3"/>
  <c r="A116" i="3"/>
  <c r="B115" i="3"/>
  <c r="E54" i="3"/>
  <c r="F83" i="1"/>
  <c r="C84" i="1" s="1"/>
  <c r="D84" i="1" s="1"/>
  <c r="G83" i="1"/>
  <c r="G82" i="1"/>
  <c r="A116" i="1"/>
  <c r="B115" i="1"/>
  <c r="D84" i="4" l="1"/>
  <c r="E84" i="4" s="1"/>
  <c r="A117" i="4"/>
  <c r="B116" i="4"/>
  <c r="B116" i="3"/>
  <c r="A117" i="3"/>
  <c r="C55" i="3"/>
  <c r="G54" i="3"/>
  <c r="B116" i="1"/>
  <c r="A117" i="1"/>
  <c r="F84" i="1"/>
  <c r="C85" i="1" s="1"/>
  <c r="D85" i="1" s="1"/>
  <c r="G84" i="1"/>
  <c r="A118" i="4" l="1"/>
  <c r="B117" i="4"/>
  <c r="F84" i="4"/>
  <c r="C85" i="4" s="1"/>
  <c r="B117" i="3"/>
  <c r="A118" i="3"/>
  <c r="D55" i="3"/>
  <c r="E55" i="3" s="1"/>
  <c r="F55" i="3" s="1"/>
  <c r="F85" i="1"/>
  <c r="C86" i="1" s="1"/>
  <c r="D86" i="1" s="1"/>
  <c r="A118" i="1"/>
  <c r="B117" i="1"/>
  <c r="B118" i="4" l="1"/>
  <c r="A119" i="4"/>
  <c r="D85" i="4"/>
  <c r="C56" i="3"/>
  <c r="G55" i="3"/>
  <c r="A119" i="3"/>
  <c r="B118" i="3"/>
  <c r="G85" i="1"/>
  <c r="F86" i="1"/>
  <c r="C87" i="1" s="1"/>
  <c r="D87" i="1" s="1"/>
  <c r="G86" i="1"/>
  <c r="B118" i="1"/>
  <c r="A119" i="1"/>
  <c r="B119" i="4" l="1"/>
  <c r="A120" i="4"/>
  <c r="E85" i="4"/>
  <c r="F85" i="4" s="1"/>
  <c r="C86" i="4" s="1"/>
  <c r="A120" i="3"/>
  <c r="B119" i="3"/>
  <c r="D56" i="3"/>
  <c r="A120" i="1"/>
  <c r="B119" i="1"/>
  <c r="G87" i="1"/>
  <c r="D86" i="4" l="1"/>
  <c r="E86" i="4"/>
  <c r="A121" i="4"/>
  <c r="B120" i="4"/>
  <c r="A121" i="3"/>
  <c r="B120" i="3"/>
  <c r="E56" i="3"/>
  <c r="F56" i="3" s="1"/>
  <c r="F87" i="1"/>
  <c r="C88" i="1" s="1"/>
  <c r="D88" i="1" s="1"/>
  <c r="B120" i="1"/>
  <c r="A121" i="1"/>
  <c r="F86" i="4" l="1"/>
  <c r="C87" i="4" s="1"/>
  <c r="D87" i="4" s="1"/>
  <c r="E87" i="4" s="1"/>
  <c r="F87" i="4" s="1"/>
  <c r="C88" i="4" s="1"/>
  <c r="B121" i="4"/>
  <c r="A122" i="4"/>
  <c r="C57" i="3"/>
  <c r="G56" i="3"/>
  <c r="A122" i="3"/>
  <c r="B121" i="3"/>
  <c r="F88" i="1"/>
  <c r="C89" i="1" s="1"/>
  <c r="D89" i="1" s="1"/>
  <c r="A122" i="1"/>
  <c r="B121" i="1"/>
  <c r="D88" i="4" l="1"/>
  <c r="E88" i="4" s="1"/>
  <c r="F88" i="4" s="1"/>
  <c r="C89" i="4" s="1"/>
  <c r="A123" i="4"/>
  <c r="B122" i="4"/>
  <c r="B122" i="3"/>
  <c r="A123" i="3"/>
  <c r="D57" i="3"/>
  <c r="E57" i="3" s="1"/>
  <c r="F57" i="3" s="1"/>
  <c r="G88" i="1"/>
  <c r="G89" i="1"/>
  <c r="A123" i="1"/>
  <c r="B122" i="1"/>
  <c r="D89" i="4" l="1"/>
  <c r="E89" i="4"/>
  <c r="A124" i="4"/>
  <c r="B123" i="4"/>
  <c r="C58" i="3"/>
  <c r="G57" i="3"/>
  <c r="A124" i="3"/>
  <c r="B123" i="3"/>
  <c r="B123" i="1"/>
  <c r="A124" i="1"/>
  <c r="F89" i="1"/>
  <c r="C90" i="1" s="1"/>
  <c r="D90" i="1" s="1"/>
  <c r="F89" i="4" l="1"/>
  <c r="C90" i="4" s="1"/>
  <c r="D90" i="4" s="1"/>
  <c r="B124" i="4"/>
  <c r="A125" i="4"/>
  <c r="A125" i="3"/>
  <c r="B124" i="3"/>
  <c r="D58" i="3"/>
  <c r="G90" i="1"/>
  <c r="A125" i="1"/>
  <c r="B124" i="1"/>
  <c r="E90" i="4" l="1"/>
  <c r="F90" i="4" s="1"/>
  <c r="C91" i="4" s="1"/>
  <c r="D91" i="4"/>
  <c r="E91" i="4" s="1"/>
  <c r="A126" i="4"/>
  <c r="B125" i="4"/>
  <c r="F58" i="3"/>
  <c r="B125" i="3"/>
  <c r="A126" i="3"/>
  <c r="E58" i="3"/>
  <c r="F90" i="1"/>
  <c r="C91" i="1" s="1"/>
  <c r="D91" i="1" s="1"/>
  <c r="B125" i="1"/>
  <c r="A126" i="1"/>
  <c r="A127" i="4" l="1"/>
  <c r="B126" i="4"/>
  <c r="F91" i="4"/>
  <c r="C92" i="4" s="1"/>
  <c r="C59" i="3"/>
  <c r="G58" i="3"/>
  <c r="A127" i="3"/>
  <c r="B126" i="3"/>
  <c r="G91" i="1"/>
  <c r="F91" i="1"/>
  <c r="C92" i="1" s="1"/>
  <c r="D92" i="1" s="1"/>
  <c r="A127" i="1"/>
  <c r="B126" i="1"/>
  <c r="D92" i="4" l="1"/>
  <c r="E92" i="4" s="1"/>
  <c r="F92" i="4" s="1"/>
  <c r="C93" i="4" s="1"/>
  <c r="B127" i="4"/>
  <c r="A128" i="4"/>
  <c r="B127" i="3"/>
  <c r="A128" i="3"/>
  <c r="D59" i="3"/>
  <c r="A128" i="1"/>
  <c r="B127" i="1"/>
  <c r="F92" i="1"/>
  <c r="C93" i="1" s="1"/>
  <c r="D93" i="1" s="1"/>
  <c r="D93" i="4" l="1"/>
  <c r="A129" i="4"/>
  <c r="B128" i="4"/>
  <c r="E59" i="3"/>
  <c r="F59" i="3" s="1"/>
  <c r="B128" i="3"/>
  <c r="A129" i="3"/>
  <c r="F93" i="1"/>
  <c r="C94" i="1" s="1"/>
  <c r="D94" i="1" s="1"/>
  <c r="G93" i="1"/>
  <c r="G92" i="1"/>
  <c r="A129" i="1"/>
  <c r="B128" i="1"/>
  <c r="A130" i="4" l="1"/>
  <c r="B129" i="4"/>
  <c r="E93" i="4"/>
  <c r="F93" i="4" s="1"/>
  <c r="C94" i="4" s="1"/>
  <c r="C60" i="3"/>
  <c r="G59" i="3"/>
  <c r="A130" i="3"/>
  <c r="B129" i="3"/>
  <c r="A130" i="1"/>
  <c r="B129" i="1"/>
  <c r="G94" i="1"/>
  <c r="D94" i="4" l="1"/>
  <c r="B130" i="4"/>
  <c r="A131" i="4"/>
  <c r="A131" i="3"/>
  <c r="B130" i="3"/>
  <c r="D60" i="3"/>
  <c r="E60" i="3" s="1"/>
  <c r="F60" i="3" s="1"/>
  <c r="F94" i="1"/>
  <c r="C95" i="1" s="1"/>
  <c r="D95" i="1" s="1"/>
  <c r="B130" i="1"/>
  <c r="A131" i="1"/>
  <c r="A132" i="4" l="1"/>
  <c r="B131" i="4"/>
  <c r="E94" i="4"/>
  <c r="F94" i="4" s="1"/>
  <c r="C95" i="4" s="1"/>
  <c r="C61" i="3"/>
  <c r="G60" i="3"/>
  <c r="A132" i="3"/>
  <c r="B131" i="3"/>
  <c r="G95" i="1"/>
  <c r="A132" i="1"/>
  <c r="B131" i="1"/>
  <c r="D95" i="4" l="1"/>
  <c r="A133" i="4"/>
  <c r="B132" i="4"/>
  <c r="B132" i="3"/>
  <c r="A133" i="3"/>
  <c r="D61" i="3"/>
  <c r="F95" i="1"/>
  <c r="C96" i="1" s="1"/>
  <c r="D96" i="1" s="1"/>
  <c r="B132" i="1"/>
  <c r="A133" i="1"/>
  <c r="A134" i="4" l="1"/>
  <c r="B133" i="4"/>
  <c r="E95" i="4"/>
  <c r="F95" i="4" s="1"/>
  <c r="C96" i="4" s="1"/>
  <c r="A134" i="3"/>
  <c r="B133" i="3"/>
  <c r="E61" i="3"/>
  <c r="F61" i="3" s="1"/>
  <c r="F96" i="1"/>
  <c r="C97" i="1" s="1"/>
  <c r="D97" i="1" s="1"/>
  <c r="G96" i="1"/>
  <c r="B133" i="1"/>
  <c r="A134" i="1"/>
  <c r="D96" i="4" l="1"/>
  <c r="E96" i="4" s="1"/>
  <c r="A135" i="4"/>
  <c r="B134" i="4"/>
  <c r="C62" i="3"/>
  <c r="G61" i="3"/>
  <c r="A135" i="3"/>
  <c r="B134" i="3"/>
  <c r="B134" i="1"/>
  <c r="A135" i="1"/>
  <c r="F97" i="1"/>
  <c r="C98" i="1" s="1"/>
  <c r="D98" i="1" s="1"/>
  <c r="F96" i="4" l="1"/>
  <c r="C97" i="4" s="1"/>
  <c r="D97" i="4"/>
  <c r="B135" i="4"/>
  <c r="A136" i="4"/>
  <c r="D62" i="3"/>
  <c r="B135" i="3"/>
  <c r="A136" i="3"/>
  <c r="G98" i="1"/>
  <c r="G97" i="1"/>
  <c r="A136" i="1"/>
  <c r="B135" i="1"/>
  <c r="A137" i="4" l="1"/>
  <c r="B136" i="4"/>
  <c r="E97" i="4"/>
  <c r="F97" i="4" s="1"/>
  <c r="C98" i="4" s="1"/>
  <c r="A137" i="3"/>
  <c r="B136" i="3"/>
  <c r="E62" i="3"/>
  <c r="F62" i="3" s="1"/>
  <c r="B136" i="1"/>
  <c r="A137" i="1"/>
  <c r="F98" i="1"/>
  <c r="C99" i="1" s="1"/>
  <c r="D99" i="1" s="1"/>
  <c r="D98" i="4" l="1"/>
  <c r="E98" i="4" s="1"/>
  <c r="F98" i="4" s="1"/>
  <c r="C99" i="4" s="1"/>
  <c r="B137" i="4"/>
  <c r="A138" i="4"/>
  <c r="C63" i="3"/>
  <c r="G62" i="3"/>
  <c r="B137" i="3"/>
  <c r="A138" i="3"/>
  <c r="A138" i="1"/>
  <c r="B137" i="1"/>
  <c r="F99" i="1"/>
  <c r="C100" i="1" s="1"/>
  <c r="D100" i="1" s="1"/>
  <c r="G99" i="1"/>
  <c r="D99" i="4" l="1"/>
  <c r="E99" i="4" s="1"/>
  <c r="F99" i="4" s="1"/>
  <c r="C100" i="4" s="1"/>
  <c r="B138" i="4"/>
  <c r="A139" i="4"/>
  <c r="A139" i="3"/>
  <c r="B138" i="3"/>
  <c r="D63" i="3"/>
  <c r="G100" i="1"/>
  <c r="A139" i="1"/>
  <c r="B138" i="1"/>
  <c r="D100" i="4" l="1"/>
  <c r="E100" i="4"/>
  <c r="F100" i="4"/>
  <c r="C101" i="4" s="1"/>
  <c r="A140" i="4"/>
  <c r="B139" i="4"/>
  <c r="A140" i="3"/>
  <c r="B139" i="3"/>
  <c r="E63" i="3"/>
  <c r="F63" i="3" s="1"/>
  <c r="B139" i="1"/>
  <c r="A140" i="1"/>
  <c r="F100" i="1"/>
  <c r="C101" i="1" s="1"/>
  <c r="D101" i="1" s="1"/>
  <c r="A141" i="4" l="1"/>
  <c r="B140" i="4"/>
  <c r="D101" i="4"/>
  <c r="E101" i="4" s="1"/>
  <c r="F101" i="4" s="1"/>
  <c r="C102" i="4" s="1"/>
  <c r="C64" i="3"/>
  <c r="G63" i="3"/>
  <c r="B140" i="3"/>
  <c r="A141" i="3"/>
  <c r="G101" i="1"/>
  <c r="A141" i="1"/>
  <c r="B140" i="1"/>
  <c r="D102" i="4" l="1"/>
  <c r="E102" i="4" s="1"/>
  <c r="B141" i="4"/>
  <c r="A142" i="4"/>
  <c r="A142" i="3"/>
  <c r="B141" i="3"/>
  <c r="D64" i="3"/>
  <c r="B141" i="1"/>
  <c r="A142" i="1"/>
  <c r="F101" i="1"/>
  <c r="C102" i="1" s="1"/>
  <c r="D102" i="1" s="1"/>
  <c r="F102" i="4" l="1"/>
  <c r="C103" i="4" s="1"/>
  <c r="D103" i="4"/>
  <c r="E103" i="4" s="1"/>
  <c r="F103" i="4" s="1"/>
  <c r="C104" i="4" s="1"/>
  <c r="B142" i="4"/>
  <c r="A143" i="4"/>
  <c r="F64" i="3"/>
  <c r="E64" i="3"/>
  <c r="A143" i="3"/>
  <c r="B142" i="3"/>
  <c r="G102" i="1"/>
  <c r="A143" i="1"/>
  <c r="B142" i="1"/>
  <c r="D104" i="4" l="1"/>
  <c r="E104" i="4" s="1"/>
  <c r="B143" i="4"/>
  <c r="A144" i="4"/>
  <c r="C65" i="3"/>
  <c r="G64" i="3"/>
  <c r="A144" i="3"/>
  <c r="B143" i="3"/>
  <c r="B143" i="1"/>
  <c r="A144" i="1"/>
  <c r="F102" i="1"/>
  <c r="C103" i="1" s="1"/>
  <c r="D103" i="1" s="1"/>
  <c r="B144" i="4" l="1"/>
  <c r="A145" i="4"/>
  <c r="F104" i="4"/>
  <c r="C105" i="4" s="1"/>
  <c r="B144" i="3"/>
  <c r="A145" i="3"/>
  <c r="D65" i="3"/>
  <c r="E65" i="3" s="1"/>
  <c r="F65" i="3" s="1"/>
  <c r="G103" i="1"/>
  <c r="A145" i="1"/>
  <c r="B144" i="1"/>
  <c r="D105" i="4" l="1"/>
  <c r="E105" i="4" s="1"/>
  <c r="B145" i="4"/>
  <c r="A146" i="4"/>
  <c r="C66" i="3"/>
  <c r="G65" i="3"/>
  <c r="B145" i="3"/>
  <c r="A146" i="3"/>
  <c r="A146" i="1"/>
  <c r="B145" i="1"/>
  <c r="F103" i="1"/>
  <c r="C104" i="1" s="1"/>
  <c r="D104" i="1" s="1"/>
  <c r="F105" i="4" l="1"/>
  <c r="C106" i="4" s="1"/>
  <c r="D106" i="4" s="1"/>
  <c r="A147" i="4"/>
  <c r="B146" i="4"/>
  <c r="A147" i="3"/>
  <c r="B146" i="3"/>
  <c r="D66" i="3"/>
  <c r="G104" i="1"/>
  <c r="A147" i="1"/>
  <c r="B146" i="1"/>
  <c r="E106" i="4" l="1"/>
  <c r="F106" i="4" s="1"/>
  <c r="C107" i="4" s="1"/>
  <c r="D107" i="4" s="1"/>
  <c r="E107" i="4" s="1"/>
  <c r="F107" i="4" s="1"/>
  <c r="C108" i="4" s="1"/>
  <c r="A148" i="4"/>
  <c r="B147" i="4"/>
  <c r="F66" i="3"/>
  <c r="E66" i="3"/>
  <c r="A148" i="3"/>
  <c r="B147" i="3"/>
  <c r="F104" i="1"/>
  <c r="C105" i="1" s="1"/>
  <c r="D105" i="1" s="1"/>
  <c r="A148" i="1"/>
  <c r="B147" i="1"/>
  <c r="D108" i="4" l="1"/>
  <c r="E108" i="4" s="1"/>
  <c r="F108" i="4" s="1"/>
  <c r="C109" i="4" s="1"/>
  <c r="A149" i="4"/>
  <c r="B148" i="4"/>
  <c r="C67" i="3"/>
  <c r="G66" i="3"/>
  <c r="B148" i="3"/>
  <c r="A149" i="3"/>
  <c r="B148" i="1"/>
  <c r="A149" i="1"/>
  <c r="F105" i="1"/>
  <c r="C106" i="1" s="1"/>
  <c r="D106" i="1" s="1"/>
  <c r="D109" i="4" l="1"/>
  <c r="B149" i="4"/>
  <c r="A150" i="4"/>
  <c r="D67" i="3"/>
  <c r="E67" i="3"/>
  <c r="F67" i="3" s="1"/>
  <c r="A150" i="3"/>
  <c r="B149" i="3"/>
  <c r="F106" i="1"/>
  <c r="C107" i="1" s="1"/>
  <c r="D107" i="1" s="1"/>
  <c r="G105" i="1"/>
  <c r="A150" i="1"/>
  <c r="B149" i="1"/>
  <c r="A151" i="4" l="1"/>
  <c r="B150" i="4"/>
  <c r="E109" i="4"/>
  <c r="F109" i="4" s="1"/>
  <c r="C110" i="4" s="1"/>
  <c r="C68" i="3"/>
  <c r="G67" i="3"/>
  <c r="A151" i="3"/>
  <c r="B150" i="3"/>
  <c r="F107" i="1"/>
  <c r="C108" i="1" s="1"/>
  <c r="D108" i="1" s="1"/>
  <c r="B150" i="1"/>
  <c r="A151" i="1"/>
  <c r="G106" i="1"/>
  <c r="D110" i="4" l="1"/>
  <c r="B151" i="4"/>
  <c r="A152" i="4"/>
  <c r="B151" i="3"/>
  <c r="A152" i="3"/>
  <c r="D68" i="3"/>
  <c r="G107" i="1"/>
  <c r="G108" i="1"/>
  <c r="A152" i="1"/>
  <c r="B151" i="1"/>
  <c r="A153" i="4" l="1"/>
  <c r="B152" i="4"/>
  <c r="E110" i="4"/>
  <c r="F110" i="4" s="1"/>
  <c r="C111" i="4" s="1"/>
  <c r="E68" i="3"/>
  <c r="F68" i="3" s="1"/>
  <c r="A153" i="3"/>
  <c r="B152" i="3"/>
  <c r="F108" i="1"/>
  <c r="C109" i="1" s="1"/>
  <c r="D109" i="1" s="1"/>
  <c r="B152" i="1"/>
  <c r="A153" i="1"/>
  <c r="D111" i="4" l="1"/>
  <c r="E111" i="4" s="1"/>
  <c r="B153" i="4"/>
  <c r="A154" i="4"/>
  <c r="C69" i="3"/>
  <c r="G68" i="3"/>
  <c r="B153" i="3"/>
  <c r="A154" i="3"/>
  <c r="F109" i="1"/>
  <c r="C110" i="1" s="1"/>
  <c r="D110" i="1" s="1"/>
  <c r="G109" i="1"/>
  <c r="B153" i="1"/>
  <c r="A154" i="1"/>
  <c r="A155" i="4" l="1"/>
  <c r="B154" i="4"/>
  <c r="F111" i="4"/>
  <c r="C112" i="4" s="1"/>
  <c r="B154" i="3"/>
  <c r="A155" i="3"/>
  <c r="D69" i="3"/>
  <c r="G110" i="1"/>
  <c r="F110" i="1"/>
  <c r="C111" i="1" s="1"/>
  <c r="D111" i="1" s="1"/>
  <c r="A155" i="1"/>
  <c r="B154" i="1"/>
  <c r="D112" i="4" l="1"/>
  <c r="E112" i="4" s="1"/>
  <c r="F112" i="4" s="1"/>
  <c r="C113" i="4" s="1"/>
  <c r="B155" i="4"/>
  <c r="A156" i="4"/>
  <c r="E69" i="3"/>
  <c r="F69" i="3" s="1"/>
  <c r="B155" i="3"/>
  <c r="A156" i="3"/>
  <c r="B155" i="1"/>
  <c r="A156" i="1"/>
  <c r="F111" i="1"/>
  <c r="C112" i="1" s="1"/>
  <c r="D112" i="1" s="1"/>
  <c r="G111" i="1"/>
  <c r="D113" i="4" l="1"/>
  <c r="B156" i="4"/>
  <c r="A157" i="4"/>
  <c r="C70" i="3"/>
  <c r="G69" i="3"/>
  <c r="A157" i="3"/>
  <c r="B156" i="3"/>
  <c r="G112" i="1"/>
  <c r="A157" i="1"/>
  <c r="B156" i="1"/>
  <c r="A158" i="4" l="1"/>
  <c r="B157" i="4"/>
  <c r="E113" i="4"/>
  <c r="F113" i="4" s="1"/>
  <c r="C114" i="4" s="1"/>
  <c r="A158" i="3"/>
  <c r="B157" i="3"/>
  <c r="D70" i="3"/>
  <c r="F112" i="1"/>
  <c r="C113" i="1" s="1"/>
  <c r="D113" i="1" s="1"/>
  <c r="B157" i="1"/>
  <c r="A158" i="1"/>
  <c r="D114" i="4" l="1"/>
  <c r="E114" i="4" s="1"/>
  <c r="B158" i="4"/>
  <c r="A159" i="4"/>
  <c r="F70" i="3"/>
  <c r="E70" i="3"/>
  <c r="B158" i="3"/>
  <c r="A159" i="3"/>
  <c r="A159" i="1"/>
  <c r="B158" i="1"/>
  <c r="G113" i="1"/>
  <c r="B159" i="4" l="1"/>
  <c r="A160" i="4"/>
  <c r="F114" i="4"/>
  <c r="C115" i="4" s="1"/>
  <c r="C71" i="3"/>
  <c r="G70" i="3"/>
  <c r="A160" i="3"/>
  <c r="B159" i="3"/>
  <c r="F113" i="1"/>
  <c r="C114" i="1" s="1"/>
  <c r="D114" i="1" s="1"/>
  <c r="A160" i="1"/>
  <c r="B159" i="1"/>
  <c r="D115" i="4" l="1"/>
  <c r="E115" i="4"/>
  <c r="F115" i="4" s="1"/>
  <c r="C116" i="4" s="1"/>
  <c r="A161" i="4"/>
  <c r="B160" i="4"/>
  <c r="B160" i="3"/>
  <c r="A161" i="3"/>
  <c r="D71" i="3"/>
  <c r="E71" i="3" s="1"/>
  <c r="A161" i="1"/>
  <c r="B160" i="1"/>
  <c r="G114" i="1"/>
  <c r="D116" i="4" l="1"/>
  <c r="E116" i="4" s="1"/>
  <c r="F116" i="4" s="1"/>
  <c r="C117" i="4" s="1"/>
  <c r="B161" i="4"/>
  <c r="A162" i="4"/>
  <c r="F71" i="3"/>
  <c r="B161" i="3"/>
  <c r="A162" i="3"/>
  <c r="F114" i="1"/>
  <c r="C115" i="1" s="1"/>
  <c r="D115" i="1" s="1"/>
  <c r="A162" i="1"/>
  <c r="B161" i="1"/>
  <c r="D117" i="4" l="1"/>
  <c r="E117" i="4" s="1"/>
  <c r="A163" i="4"/>
  <c r="B162" i="4"/>
  <c r="B162" i="3"/>
  <c r="A163" i="3"/>
  <c r="C72" i="3"/>
  <c r="G71" i="3"/>
  <c r="A163" i="1"/>
  <c r="B162" i="1"/>
  <c r="G115" i="1"/>
  <c r="A164" i="4" l="1"/>
  <c r="B163" i="4"/>
  <c r="F117" i="4"/>
  <c r="C118" i="4" s="1"/>
  <c r="D72" i="3"/>
  <c r="B163" i="3"/>
  <c r="A164" i="3"/>
  <c r="F115" i="1"/>
  <c r="C116" i="1" s="1"/>
  <c r="D116" i="1" s="1"/>
  <c r="A164" i="1"/>
  <c r="B163" i="1"/>
  <c r="D118" i="4" l="1"/>
  <c r="E118" i="4" s="1"/>
  <c r="F118" i="4" s="1"/>
  <c r="C119" i="4" s="1"/>
  <c r="B164" i="4"/>
  <c r="A165" i="4"/>
  <c r="A165" i="3"/>
  <c r="B164" i="3"/>
  <c r="E72" i="3"/>
  <c r="F72" i="3" s="1"/>
  <c r="F116" i="1"/>
  <c r="C117" i="1" s="1"/>
  <c r="D117" i="1" s="1"/>
  <c r="G116" i="1"/>
  <c r="B164" i="1"/>
  <c r="A165" i="1"/>
  <c r="D119" i="4" l="1"/>
  <c r="E119" i="4" s="1"/>
  <c r="F119" i="4" s="1"/>
  <c r="C120" i="4" s="1"/>
  <c r="B165" i="4"/>
  <c r="A166" i="4"/>
  <c r="C73" i="3"/>
  <c r="G72" i="3"/>
  <c r="A166" i="3"/>
  <c r="B165" i="3"/>
  <c r="G117" i="1"/>
  <c r="A166" i="1"/>
  <c r="B165" i="1"/>
  <c r="F117" i="1"/>
  <c r="C118" i="1" s="1"/>
  <c r="D118" i="1" s="1"/>
  <c r="D120" i="4" l="1"/>
  <c r="E120" i="4" s="1"/>
  <c r="F120" i="4" s="1"/>
  <c r="C121" i="4" s="1"/>
  <c r="A167" i="4"/>
  <c r="B166" i="4"/>
  <c r="A167" i="3"/>
  <c r="B166" i="3"/>
  <c r="D73" i="3"/>
  <c r="G118" i="1"/>
  <c r="B166" i="1"/>
  <c r="A167" i="1"/>
  <c r="D121" i="4" l="1"/>
  <c r="E121" i="4"/>
  <c r="F121" i="4" s="1"/>
  <c r="C122" i="4" s="1"/>
  <c r="B167" i="4"/>
  <c r="A168" i="4"/>
  <c r="E73" i="3"/>
  <c r="F73" i="3" s="1"/>
  <c r="A168" i="3"/>
  <c r="B167" i="3"/>
  <c r="A168" i="1"/>
  <c r="B167" i="1"/>
  <c r="F118" i="1"/>
  <c r="C119" i="1" s="1"/>
  <c r="D119" i="1" s="1"/>
  <c r="B168" i="4" l="1"/>
  <c r="A169" i="4"/>
  <c r="D122" i="4"/>
  <c r="E122" i="4" s="1"/>
  <c r="F122" i="4" s="1"/>
  <c r="C123" i="4" s="1"/>
  <c r="C74" i="3"/>
  <c r="G73" i="3"/>
  <c r="A169" i="3"/>
  <c r="B168" i="3"/>
  <c r="F119" i="1"/>
  <c r="C120" i="1" s="1"/>
  <c r="D120" i="1" s="1"/>
  <c r="B168" i="1"/>
  <c r="A169" i="1"/>
  <c r="D123" i="4" l="1"/>
  <c r="A170" i="4"/>
  <c r="B169" i="4"/>
  <c r="D74" i="3"/>
  <c r="B169" i="3"/>
  <c r="A170" i="3"/>
  <c r="F120" i="1"/>
  <c r="C121" i="1" s="1"/>
  <c r="D121" i="1" s="1"/>
  <c r="A170" i="1"/>
  <c r="B169" i="1"/>
  <c r="G119" i="1"/>
  <c r="B170" i="4" l="1"/>
  <c r="A171" i="4"/>
  <c r="E123" i="4"/>
  <c r="F123" i="4" s="1"/>
  <c r="C124" i="4" s="1"/>
  <c r="B170" i="3"/>
  <c r="A171" i="3"/>
  <c r="E74" i="3"/>
  <c r="F74" i="3" s="1"/>
  <c r="G120" i="1"/>
  <c r="A171" i="1"/>
  <c r="B170" i="1"/>
  <c r="F121" i="1"/>
  <c r="C122" i="1" s="1"/>
  <c r="D122" i="1" s="1"/>
  <c r="G121" i="1"/>
  <c r="D124" i="4" l="1"/>
  <c r="E124" i="4" s="1"/>
  <c r="F124" i="4" s="1"/>
  <c r="C125" i="4" s="1"/>
  <c r="A172" i="4"/>
  <c r="B171" i="4"/>
  <c r="C75" i="3"/>
  <c r="G74" i="3"/>
  <c r="B171" i="3"/>
  <c r="A172" i="3"/>
  <c r="F122" i="1"/>
  <c r="C123" i="1" s="1"/>
  <c r="D123" i="1" s="1"/>
  <c r="B171" i="1"/>
  <c r="A172" i="1"/>
  <c r="D125" i="4" l="1"/>
  <c r="A173" i="4"/>
  <c r="B172" i="4"/>
  <c r="D75" i="3"/>
  <c r="A173" i="3"/>
  <c r="B172" i="3"/>
  <c r="F123" i="1"/>
  <c r="C124" i="1" s="1"/>
  <c r="D124" i="1" s="1"/>
  <c r="G123" i="1"/>
  <c r="A173" i="1"/>
  <c r="B172" i="1"/>
  <c r="G122" i="1"/>
  <c r="B173" i="4" l="1"/>
  <c r="A174" i="4"/>
  <c r="E125" i="4"/>
  <c r="F125" i="4" s="1"/>
  <c r="C126" i="4" s="1"/>
  <c r="A174" i="3"/>
  <c r="B173" i="3"/>
  <c r="E75" i="3"/>
  <c r="F75" i="3" s="1"/>
  <c r="F124" i="1"/>
  <c r="C125" i="1" s="1"/>
  <c r="D125" i="1" s="1"/>
  <c r="B173" i="1"/>
  <c r="A174" i="1"/>
  <c r="D126" i="4" l="1"/>
  <c r="E126" i="4" s="1"/>
  <c r="F126" i="4" s="1"/>
  <c r="C127" i="4" s="1"/>
  <c r="A175" i="4"/>
  <c r="B174" i="4"/>
  <c r="C76" i="3"/>
  <c r="G75" i="3"/>
  <c r="B174" i="3"/>
  <c r="A175" i="3"/>
  <c r="G125" i="1"/>
  <c r="A175" i="1"/>
  <c r="B174" i="1"/>
  <c r="G124" i="1"/>
  <c r="D127" i="4" l="1"/>
  <c r="E127" i="4" s="1"/>
  <c r="B175" i="4"/>
  <c r="A176" i="4"/>
  <c r="E76" i="3"/>
  <c r="F76" i="3" s="1"/>
  <c r="D76" i="3"/>
  <c r="A176" i="3"/>
  <c r="B175" i="3"/>
  <c r="F125" i="1"/>
  <c r="C126" i="1" s="1"/>
  <c r="D126" i="1" s="1"/>
  <c r="B175" i="1"/>
  <c r="A176" i="1"/>
  <c r="F127" i="4" l="1"/>
  <c r="C128" i="4" s="1"/>
  <c r="D128" i="4"/>
  <c r="E128" i="4"/>
  <c r="B176" i="4"/>
  <c r="A177" i="4"/>
  <c r="C77" i="3"/>
  <c r="G76" i="3"/>
  <c r="B176" i="3"/>
  <c r="A177" i="3"/>
  <c r="G126" i="1"/>
  <c r="F126" i="1"/>
  <c r="C127" i="1" s="1"/>
  <c r="D127" i="1" s="1"/>
  <c r="B176" i="1"/>
  <c r="A177" i="1"/>
  <c r="F128" i="4" l="1"/>
  <c r="C129" i="4" s="1"/>
  <c r="D129" i="4" s="1"/>
  <c r="A178" i="4"/>
  <c r="B177" i="4"/>
  <c r="D77" i="3"/>
  <c r="B177" i="3"/>
  <c r="A178" i="3"/>
  <c r="F127" i="1"/>
  <c r="C128" i="1" s="1"/>
  <c r="D128" i="1" s="1"/>
  <c r="G127" i="1"/>
  <c r="A178" i="1"/>
  <c r="B177" i="1"/>
  <c r="A179" i="4" l="1"/>
  <c r="B178" i="4"/>
  <c r="E129" i="4"/>
  <c r="F129" i="4" s="1"/>
  <c r="C130" i="4" s="1"/>
  <c r="B178" i="3"/>
  <c r="A179" i="3"/>
  <c r="E77" i="3"/>
  <c r="F77" i="3" s="1"/>
  <c r="G128" i="1"/>
  <c r="A179" i="1"/>
  <c r="B178" i="1"/>
  <c r="D130" i="4" l="1"/>
  <c r="E130" i="4" s="1"/>
  <c r="A180" i="4"/>
  <c r="B179" i="4"/>
  <c r="C78" i="3"/>
  <c r="G77" i="3"/>
  <c r="B179" i="3"/>
  <c r="A180" i="3"/>
  <c r="F128" i="1"/>
  <c r="C129" i="1" s="1"/>
  <c r="D129" i="1" s="1"/>
  <c r="A180" i="1"/>
  <c r="B179" i="1"/>
  <c r="F130" i="4" l="1"/>
  <c r="C131" i="4" s="1"/>
  <c r="D131" i="4" s="1"/>
  <c r="A181" i="4"/>
  <c r="B180" i="4"/>
  <c r="A181" i="3"/>
  <c r="B180" i="3"/>
  <c r="D78" i="3"/>
  <c r="G129" i="1"/>
  <c r="B180" i="1"/>
  <c r="A181" i="1"/>
  <c r="F129" i="1"/>
  <c r="C130" i="1" s="1"/>
  <c r="D130" i="1" s="1"/>
  <c r="E131" i="4" l="1"/>
  <c r="F131" i="4" s="1"/>
  <c r="C132" i="4" s="1"/>
  <c r="D132" i="4" s="1"/>
  <c r="E132" i="4" s="1"/>
  <c r="F132" i="4" s="1"/>
  <c r="C133" i="4" s="1"/>
  <c r="A182" i="4"/>
  <c r="B181" i="4"/>
  <c r="F78" i="3"/>
  <c r="E78" i="3"/>
  <c r="A182" i="3"/>
  <c r="B181" i="3"/>
  <c r="G130" i="1"/>
  <c r="A182" i="1"/>
  <c r="B181" i="1"/>
  <c r="D133" i="4" l="1"/>
  <c r="B182" i="4"/>
  <c r="A183" i="4"/>
  <c r="C79" i="3"/>
  <c r="G78" i="3"/>
  <c r="A183" i="3"/>
  <c r="B182" i="3"/>
  <c r="B182" i="1"/>
  <c r="A183" i="1"/>
  <c r="F130" i="1"/>
  <c r="C131" i="1" s="1"/>
  <c r="D131" i="1" s="1"/>
  <c r="B183" i="4" l="1"/>
  <c r="A184" i="4"/>
  <c r="E133" i="4"/>
  <c r="F133" i="4" s="1"/>
  <c r="C134" i="4" s="1"/>
  <c r="B183" i="3"/>
  <c r="A184" i="3"/>
  <c r="D79" i="3"/>
  <c r="G131" i="1"/>
  <c r="A184" i="1"/>
  <c r="B183" i="1"/>
  <c r="D134" i="4" l="1"/>
  <c r="E134" i="4" s="1"/>
  <c r="A185" i="4"/>
  <c r="B184" i="4"/>
  <c r="A185" i="3"/>
  <c r="B184" i="3"/>
  <c r="E79" i="3"/>
  <c r="F79" i="3" s="1"/>
  <c r="F131" i="1"/>
  <c r="C132" i="1" s="1"/>
  <c r="D132" i="1" s="1"/>
  <c r="B184" i="1"/>
  <c r="A185" i="1"/>
  <c r="F134" i="4" l="1"/>
  <c r="C135" i="4" s="1"/>
  <c r="D135" i="4" s="1"/>
  <c r="E135" i="4" s="1"/>
  <c r="F135" i="4" s="1"/>
  <c r="C136" i="4" s="1"/>
  <c r="A186" i="4"/>
  <c r="B185" i="4"/>
  <c r="C80" i="3"/>
  <c r="G79" i="3"/>
  <c r="B185" i="3"/>
  <c r="A186" i="3"/>
  <c r="G132" i="1"/>
  <c r="A186" i="1"/>
  <c r="B185" i="1"/>
  <c r="D136" i="4" l="1"/>
  <c r="E136" i="4" s="1"/>
  <c r="F136" i="4" s="1"/>
  <c r="C137" i="4" s="1"/>
  <c r="B186" i="4"/>
  <c r="A187" i="4"/>
  <c r="A187" i="3"/>
  <c r="B186" i="3"/>
  <c r="D80" i="3"/>
  <c r="F132" i="1"/>
  <c r="C133" i="1" s="1"/>
  <c r="D133" i="1" s="1"/>
  <c r="A187" i="1"/>
  <c r="B186" i="1"/>
  <c r="D137" i="4" l="1"/>
  <c r="E137" i="4" s="1"/>
  <c r="A188" i="4"/>
  <c r="B187" i="4"/>
  <c r="F80" i="3"/>
  <c r="E80" i="3"/>
  <c r="A188" i="3"/>
  <c r="B187" i="3"/>
  <c r="G133" i="1"/>
  <c r="B187" i="1"/>
  <c r="A188" i="1"/>
  <c r="F133" i="1"/>
  <c r="C134" i="1" s="1"/>
  <c r="D134" i="1" s="1"/>
  <c r="F137" i="4" l="1"/>
  <c r="C138" i="4" s="1"/>
  <c r="D138" i="4" s="1"/>
  <c r="A189" i="4"/>
  <c r="B188" i="4"/>
  <c r="C81" i="3"/>
  <c r="G80" i="3"/>
  <c r="B188" i="3"/>
  <c r="A189" i="3"/>
  <c r="F134" i="1"/>
  <c r="C135" i="1" s="1"/>
  <c r="D135" i="1" s="1"/>
  <c r="G134" i="1"/>
  <c r="A189" i="1"/>
  <c r="B188" i="1"/>
  <c r="B189" i="4" l="1"/>
  <c r="A190" i="4"/>
  <c r="E138" i="4"/>
  <c r="F138" i="4" s="1"/>
  <c r="C139" i="4" s="1"/>
  <c r="A190" i="3"/>
  <c r="B189" i="3"/>
  <c r="D81" i="3"/>
  <c r="F81" i="3" s="1"/>
  <c r="E81" i="3"/>
  <c r="B189" i="1"/>
  <c r="A190" i="1"/>
  <c r="G135" i="1"/>
  <c r="D139" i="4" l="1"/>
  <c r="B190" i="4"/>
  <c r="A191" i="4"/>
  <c r="C82" i="3"/>
  <c r="G81" i="3"/>
  <c r="B190" i="3"/>
  <c r="A191" i="3"/>
  <c r="F135" i="1"/>
  <c r="C136" i="1" s="1"/>
  <c r="D136" i="1" s="1"/>
  <c r="A191" i="1"/>
  <c r="B190" i="1"/>
  <c r="B191" i="4" l="1"/>
  <c r="A192" i="4"/>
  <c r="E139" i="4"/>
  <c r="F139" i="4" s="1"/>
  <c r="C140" i="4" s="1"/>
  <c r="A192" i="3"/>
  <c r="B191" i="3"/>
  <c r="D82" i="3"/>
  <c r="B191" i="1"/>
  <c r="A192" i="1"/>
  <c r="G136" i="1"/>
  <c r="D140" i="4" l="1"/>
  <c r="B192" i="4"/>
  <c r="A193" i="4"/>
  <c r="E82" i="3"/>
  <c r="F82" i="3" s="1"/>
  <c r="A193" i="3"/>
  <c r="B192" i="3"/>
  <c r="F136" i="1"/>
  <c r="C137" i="1" s="1"/>
  <c r="D137" i="1" s="1"/>
  <c r="B192" i="1"/>
  <c r="A193" i="1"/>
  <c r="A194" i="4" l="1"/>
  <c r="B193" i="4"/>
  <c r="E140" i="4"/>
  <c r="F140" i="4" s="1"/>
  <c r="C141" i="4" s="1"/>
  <c r="C83" i="3"/>
  <c r="G82" i="3"/>
  <c r="B193" i="3"/>
  <c r="A194" i="3"/>
  <c r="A194" i="1"/>
  <c r="B193" i="1"/>
  <c r="G137" i="1"/>
  <c r="D141" i="4" l="1"/>
  <c r="E141" i="4"/>
  <c r="A195" i="4"/>
  <c r="B194" i="4"/>
  <c r="D83" i="3"/>
  <c r="E83" i="3"/>
  <c r="F83" i="3" s="1"/>
  <c r="A195" i="3"/>
  <c r="B194" i="3"/>
  <c r="F137" i="1"/>
  <c r="C138" i="1" s="1"/>
  <c r="D138" i="1" s="1"/>
  <c r="A195" i="1"/>
  <c r="B194" i="1"/>
  <c r="F141" i="4" l="1"/>
  <c r="C142" i="4" s="1"/>
  <c r="D142" i="4" s="1"/>
  <c r="A196" i="4"/>
  <c r="B195" i="4"/>
  <c r="C84" i="3"/>
  <c r="G83" i="3"/>
  <c r="A196" i="3"/>
  <c r="B195" i="3"/>
  <c r="G138" i="1"/>
  <c r="A196" i="1"/>
  <c r="B195" i="1"/>
  <c r="B196" i="4" l="1"/>
  <c r="A197" i="4"/>
  <c r="E142" i="4"/>
  <c r="F142" i="4" s="1"/>
  <c r="C143" i="4" s="1"/>
  <c r="A197" i="3"/>
  <c r="B196" i="3"/>
  <c r="D84" i="3"/>
  <c r="E84" i="3"/>
  <c r="F84" i="3" s="1"/>
  <c r="B196" i="1"/>
  <c r="A197" i="1"/>
  <c r="F138" i="1"/>
  <c r="C139" i="1" s="1"/>
  <c r="D139" i="1" s="1"/>
  <c r="D143" i="4" l="1"/>
  <c r="A198" i="4"/>
  <c r="B197" i="4"/>
  <c r="C85" i="3"/>
  <c r="G84" i="3"/>
  <c r="A198" i="3"/>
  <c r="B197" i="3"/>
  <c r="G139" i="1"/>
  <c r="A198" i="1"/>
  <c r="B197" i="1"/>
  <c r="A199" i="4" l="1"/>
  <c r="B198" i="4"/>
  <c r="E143" i="4"/>
  <c r="F143" i="4" s="1"/>
  <c r="C144" i="4" s="1"/>
  <c r="A199" i="3"/>
  <c r="B198" i="3"/>
  <c r="D85" i="3"/>
  <c r="F139" i="1"/>
  <c r="C140" i="1" s="1"/>
  <c r="D140" i="1" s="1"/>
  <c r="B198" i="1"/>
  <c r="A199" i="1"/>
  <c r="D144" i="4" l="1"/>
  <c r="B199" i="4"/>
  <c r="A200" i="4"/>
  <c r="E85" i="3"/>
  <c r="F85" i="3" s="1"/>
  <c r="B199" i="3"/>
  <c r="A200" i="3"/>
  <c r="A200" i="1"/>
  <c r="B199" i="1"/>
  <c r="F140" i="1"/>
  <c r="C141" i="1" s="1"/>
  <c r="D141" i="1" s="1"/>
  <c r="A201" i="4" l="1"/>
  <c r="B200" i="4"/>
  <c r="E144" i="4"/>
  <c r="F144" i="4" s="1"/>
  <c r="C145" i="4" s="1"/>
  <c r="C86" i="3"/>
  <c r="G85" i="3"/>
  <c r="B200" i="3"/>
  <c r="A201" i="3"/>
  <c r="G141" i="1"/>
  <c r="G140" i="1"/>
  <c r="B200" i="1"/>
  <c r="A201" i="1"/>
  <c r="D145" i="4" l="1"/>
  <c r="E145" i="4" s="1"/>
  <c r="A202" i="4"/>
  <c r="B201" i="4"/>
  <c r="B201" i="3"/>
  <c r="A202" i="3"/>
  <c r="D86" i="3"/>
  <c r="F86" i="3" s="1"/>
  <c r="E86" i="3"/>
  <c r="F141" i="1"/>
  <c r="C142" i="1" s="1"/>
  <c r="D142" i="1" s="1"/>
  <c r="A202" i="1"/>
  <c r="B201" i="1"/>
  <c r="F145" i="4" l="1"/>
  <c r="C146" i="4" s="1"/>
  <c r="D146" i="4" s="1"/>
  <c r="B202" i="4"/>
  <c r="A203" i="4"/>
  <c r="C87" i="3"/>
  <c r="G86" i="3"/>
  <c r="A203" i="3"/>
  <c r="B202" i="3"/>
  <c r="A203" i="1"/>
  <c r="B202" i="1"/>
  <c r="G142" i="1"/>
  <c r="A204" i="4" l="1"/>
  <c r="B203" i="4"/>
  <c r="E146" i="4"/>
  <c r="F146" i="4" s="1"/>
  <c r="C147" i="4" s="1"/>
  <c r="B203" i="3"/>
  <c r="A204" i="3"/>
  <c r="D87" i="3"/>
  <c r="F142" i="1"/>
  <c r="C143" i="1" s="1"/>
  <c r="D143" i="1" s="1"/>
  <c r="B203" i="1"/>
  <c r="A204" i="1"/>
  <c r="D147" i="4" l="1"/>
  <c r="B204" i="4"/>
  <c r="A205" i="4"/>
  <c r="E87" i="3"/>
  <c r="F87" i="3" s="1"/>
  <c r="A205" i="3"/>
  <c r="B204" i="3"/>
  <c r="A205" i="1"/>
  <c r="B204" i="1"/>
  <c r="F143" i="1"/>
  <c r="C144" i="1" s="1"/>
  <c r="D144" i="1" s="1"/>
  <c r="G143" i="1"/>
  <c r="A206" i="4" l="1"/>
  <c r="B205" i="4"/>
  <c r="E147" i="4"/>
  <c r="F147" i="4" s="1"/>
  <c r="C148" i="4" s="1"/>
  <c r="C88" i="3"/>
  <c r="G87" i="3"/>
  <c r="A206" i="3"/>
  <c r="B205" i="3"/>
  <c r="F144" i="1"/>
  <c r="C145" i="1" s="1"/>
  <c r="D145" i="1" s="1"/>
  <c r="B205" i="1"/>
  <c r="A206" i="1"/>
  <c r="D148" i="4" l="1"/>
  <c r="E148" i="4"/>
  <c r="F148" i="4" s="1"/>
  <c r="C149" i="4" s="1"/>
  <c r="A207" i="4"/>
  <c r="B206" i="4"/>
  <c r="A207" i="3"/>
  <c r="B206" i="3"/>
  <c r="D88" i="3"/>
  <c r="G144" i="1"/>
  <c r="G145" i="1"/>
  <c r="A207" i="1"/>
  <c r="B206" i="1"/>
  <c r="D149" i="4" l="1"/>
  <c r="E149" i="4" s="1"/>
  <c r="F149" i="4" s="1"/>
  <c r="C150" i="4" s="1"/>
  <c r="B207" i="4"/>
  <c r="A208" i="4"/>
  <c r="E88" i="3"/>
  <c r="F88" i="3" s="1"/>
  <c r="B207" i="3"/>
  <c r="A208" i="3"/>
  <c r="B207" i="1"/>
  <c r="A208" i="1"/>
  <c r="F145" i="1"/>
  <c r="C146" i="1" s="1"/>
  <c r="D146" i="1" s="1"/>
  <c r="D150" i="4" l="1"/>
  <c r="E150" i="4" s="1"/>
  <c r="F150" i="4" s="1"/>
  <c r="C151" i="4" s="1"/>
  <c r="A209" i="4"/>
  <c r="B208" i="4"/>
  <c r="C89" i="3"/>
  <c r="G88" i="3"/>
  <c r="A209" i="3"/>
  <c r="B208" i="3"/>
  <c r="F146" i="1"/>
  <c r="C147" i="1" s="1"/>
  <c r="D147" i="1" s="1"/>
  <c r="G146" i="1"/>
  <c r="A209" i="1"/>
  <c r="B208" i="1"/>
  <c r="D151" i="4" l="1"/>
  <c r="A210" i="4"/>
  <c r="B209" i="4"/>
  <c r="A210" i="3"/>
  <c r="B209" i="3"/>
  <c r="D89" i="3"/>
  <c r="F147" i="1"/>
  <c r="C148" i="1" s="1"/>
  <c r="D148" i="1" s="1"/>
  <c r="A210" i="1"/>
  <c r="B209" i="1"/>
  <c r="A211" i="4" l="1"/>
  <c r="B210" i="4"/>
  <c r="E151" i="4"/>
  <c r="F151" i="4" s="1"/>
  <c r="C152" i="4" s="1"/>
  <c r="E89" i="3"/>
  <c r="F89" i="3" s="1"/>
  <c r="A211" i="3"/>
  <c r="B210" i="3"/>
  <c r="G147" i="1"/>
  <c r="A211" i="1"/>
  <c r="B210" i="1"/>
  <c r="F148" i="1"/>
  <c r="C149" i="1" s="1"/>
  <c r="D149" i="1" s="1"/>
  <c r="D152" i="4" l="1"/>
  <c r="E152" i="4" s="1"/>
  <c r="F152" i="4" s="1"/>
  <c r="C153" i="4" s="1"/>
  <c r="A212" i="4"/>
  <c r="B211" i="4"/>
  <c r="C90" i="3"/>
  <c r="G89" i="3"/>
  <c r="A212" i="3"/>
  <c r="B211" i="3"/>
  <c r="F149" i="1"/>
  <c r="C150" i="1" s="1"/>
  <c r="D150" i="1" s="1"/>
  <c r="G148" i="1"/>
  <c r="A212" i="1"/>
  <c r="B211" i="1"/>
  <c r="D153" i="4" l="1"/>
  <c r="E153" i="4" s="1"/>
  <c r="B212" i="4"/>
  <c r="A213" i="4"/>
  <c r="A213" i="3"/>
  <c r="B212" i="3"/>
  <c r="D90" i="3"/>
  <c r="G149" i="1"/>
  <c r="F150" i="1"/>
  <c r="C151" i="1" s="1"/>
  <c r="D151" i="1" s="1"/>
  <c r="G150" i="1"/>
  <c r="B212" i="1"/>
  <c r="A213" i="1"/>
  <c r="F153" i="4" l="1"/>
  <c r="C154" i="4" s="1"/>
  <c r="D154" i="4" s="1"/>
  <c r="E154" i="4" s="1"/>
  <c r="A214" i="4"/>
  <c r="B213" i="4"/>
  <c r="E90" i="3"/>
  <c r="F90" i="3" s="1"/>
  <c r="A214" i="3"/>
  <c r="B213" i="3"/>
  <c r="A214" i="1"/>
  <c r="B213" i="1"/>
  <c r="G151" i="1"/>
  <c r="F154" i="4" l="1"/>
  <c r="C155" i="4" s="1"/>
  <c r="D155" i="4" s="1"/>
  <c r="A215" i="4"/>
  <c r="B214" i="4"/>
  <c r="C91" i="3"/>
  <c r="G90" i="3"/>
  <c r="A215" i="3"/>
  <c r="B214" i="3"/>
  <c r="F151" i="1"/>
  <c r="C152" i="1" s="1"/>
  <c r="D152" i="1" s="1"/>
  <c r="B214" i="1"/>
  <c r="A215" i="1"/>
  <c r="E155" i="4" l="1"/>
  <c r="F155" i="4" s="1"/>
  <c r="C156" i="4" s="1"/>
  <c r="D156" i="4" s="1"/>
  <c r="B215" i="4"/>
  <c r="A216" i="4"/>
  <c r="E91" i="3"/>
  <c r="F91" i="3" s="1"/>
  <c r="D91" i="3"/>
  <c r="B215" i="3"/>
  <c r="A216" i="3"/>
  <c r="A216" i="1"/>
  <c r="B216" i="1" s="1"/>
  <c r="B215" i="1"/>
  <c r="F152" i="1"/>
  <c r="C153" i="1" s="1"/>
  <c r="D153" i="1" s="1"/>
  <c r="E156" i="4" l="1"/>
  <c r="F156" i="4" s="1"/>
  <c r="C157" i="4" s="1"/>
  <c r="B216" i="4"/>
  <c r="A217" i="4"/>
  <c r="C92" i="3"/>
  <c r="G91" i="3"/>
  <c r="B216" i="3"/>
  <c r="A217" i="3"/>
  <c r="G153" i="1"/>
  <c r="G152" i="1"/>
  <c r="D157" i="4" l="1"/>
  <c r="E157" i="4" s="1"/>
  <c r="F157" i="4" s="1"/>
  <c r="C158" i="4" s="1"/>
  <c r="A218" i="4"/>
  <c r="B217" i="4"/>
  <c r="B217" i="3"/>
  <c r="A218" i="3"/>
  <c r="D92" i="3"/>
  <c r="E92" i="3" s="1"/>
  <c r="F92" i="3" s="1"/>
  <c r="F153" i="1"/>
  <c r="C154" i="1" s="1"/>
  <c r="D154" i="1" s="1"/>
  <c r="D158" i="4" l="1"/>
  <c r="E158" i="4" s="1"/>
  <c r="A219" i="4"/>
  <c r="B218" i="4"/>
  <c r="C93" i="3"/>
  <c r="G92" i="3"/>
  <c r="B218" i="3"/>
  <c r="A219" i="3"/>
  <c r="F154" i="1"/>
  <c r="C155" i="1" s="1"/>
  <c r="D155" i="1" s="1"/>
  <c r="A220" i="4" l="1"/>
  <c r="B219" i="4"/>
  <c r="F158" i="4"/>
  <c r="C159" i="4" s="1"/>
  <c r="D93" i="3"/>
  <c r="B219" i="3"/>
  <c r="A220" i="3"/>
  <c r="F155" i="1"/>
  <c r="C156" i="1" s="1"/>
  <c r="D156" i="1" s="1"/>
  <c r="G154" i="1"/>
  <c r="D159" i="4" l="1"/>
  <c r="A221" i="4"/>
  <c r="B220" i="4"/>
  <c r="B220" i="3"/>
  <c r="A221" i="3"/>
  <c r="E93" i="3"/>
  <c r="F93" i="3" s="1"/>
  <c r="G155" i="1"/>
  <c r="F156" i="1"/>
  <c r="C157" i="1" s="1"/>
  <c r="D157" i="1" s="1"/>
  <c r="A222" i="4" l="1"/>
  <c r="B221" i="4"/>
  <c r="E159" i="4"/>
  <c r="F159" i="4" s="1"/>
  <c r="C160" i="4" s="1"/>
  <c r="C94" i="3"/>
  <c r="G93" i="3"/>
  <c r="A222" i="3"/>
  <c r="B221" i="3"/>
  <c r="F157" i="1"/>
  <c r="C158" i="1" s="1"/>
  <c r="D158" i="1" s="1"/>
  <c r="G157" i="1"/>
  <c r="G156" i="1"/>
  <c r="D160" i="4" l="1"/>
  <c r="E160" i="4" s="1"/>
  <c r="A223" i="4"/>
  <c r="B222" i="4"/>
  <c r="A223" i="3"/>
  <c r="B222" i="3"/>
  <c r="D94" i="3"/>
  <c r="F94" i="3" s="1"/>
  <c r="E94" i="3"/>
  <c r="F158" i="1"/>
  <c r="C159" i="1" s="1"/>
  <c r="D159" i="1" s="1"/>
  <c r="F160" i="4" l="1"/>
  <c r="C161" i="4" s="1"/>
  <c r="D161" i="4" s="1"/>
  <c r="B223" i="4"/>
  <c r="A224" i="4"/>
  <c r="C95" i="3"/>
  <c r="G94" i="3"/>
  <c r="B223" i="3"/>
  <c r="A224" i="3"/>
  <c r="G158" i="1"/>
  <c r="F159" i="1"/>
  <c r="C160" i="1" s="1"/>
  <c r="D160" i="1" s="1"/>
  <c r="G159" i="1"/>
  <c r="A225" i="4" l="1"/>
  <c r="B224" i="4"/>
  <c r="E161" i="4"/>
  <c r="F161" i="4" s="1"/>
  <c r="C162" i="4" s="1"/>
  <c r="A225" i="3"/>
  <c r="B224" i="3"/>
  <c r="D95" i="3"/>
  <c r="F160" i="1"/>
  <c r="C161" i="1" s="1"/>
  <c r="D161" i="1" s="1"/>
  <c r="D162" i="4" l="1"/>
  <c r="E162" i="4"/>
  <c r="A226" i="4"/>
  <c r="B225" i="4"/>
  <c r="E95" i="3"/>
  <c r="F95" i="3" s="1"/>
  <c r="A226" i="3"/>
  <c r="B225" i="3"/>
  <c r="G161" i="1"/>
  <c r="G160" i="1"/>
  <c r="F162" i="4" l="1"/>
  <c r="C163" i="4" s="1"/>
  <c r="D163" i="4"/>
  <c r="A227" i="4"/>
  <c r="B226" i="4"/>
  <c r="C96" i="3"/>
  <c r="G95" i="3"/>
  <c r="B226" i="3"/>
  <c r="A227" i="3"/>
  <c r="F161" i="1"/>
  <c r="C162" i="1" s="1"/>
  <c r="D162" i="1" s="1"/>
  <c r="A228" i="4" l="1"/>
  <c r="B227" i="4"/>
  <c r="E163" i="4"/>
  <c r="F163" i="4" s="1"/>
  <c r="C164" i="4" s="1"/>
  <c r="A228" i="3"/>
  <c r="B227" i="3"/>
  <c r="D96" i="3"/>
  <c r="G162" i="1"/>
  <c r="D164" i="4" l="1"/>
  <c r="A229" i="4"/>
  <c r="B228" i="4"/>
  <c r="E96" i="3"/>
  <c r="F96" i="3" s="1"/>
  <c r="B228" i="3"/>
  <c r="A229" i="3"/>
  <c r="F162" i="1"/>
  <c r="C163" i="1" s="1"/>
  <c r="D163" i="1" s="1"/>
  <c r="B229" i="4" l="1"/>
  <c r="A230" i="4"/>
  <c r="E164" i="4"/>
  <c r="F164" i="4" s="1"/>
  <c r="C165" i="4" s="1"/>
  <c r="C97" i="3"/>
  <c r="G96" i="3"/>
  <c r="B229" i="3"/>
  <c r="A230" i="3"/>
  <c r="G163" i="1"/>
  <c r="D165" i="4" l="1"/>
  <c r="A231" i="4"/>
  <c r="B230" i="4"/>
  <c r="D97" i="3"/>
  <c r="E97" i="3"/>
  <c r="F97" i="3" s="1"/>
  <c r="B230" i="3"/>
  <c r="A231" i="3"/>
  <c r="F163" i="1"/>
  <c r="C164" i="1" s="1"/>
  <c r="D164" i="1" s="1"/>
  <c r="B231" i="4" l="1"/>
  <c r="A232" i="4"/>
  <c r="E165" i="4"/>
  <c r="F165" i="4" s="1"/>
  <c r="C166" i="4" s="1"/>
  <c r="C98" i="3"/>
  <c r="G97" i="3"/>
  <c r="B231" i="3"/>
  <c r="A232" i="3"/>
  <c r="F164" i="1"/>
  <c r="C165" i="1" s="1"/>
  <c r="D165" i="1" s="1"/>
  <c r="G164" i="1"/>
  <c r="D166" i="4" l="1"/>
  <c r="E166" i="4" s="1"/>
  <c r="F166" i="4" s="1"/>
  <c r="C167" i="4" s="1"/>
  <c r="A233" i="4"/>
  <c r="B232" i="4"/>
  <c r="B232" i="3"/>
  <c r="A233" i="3"/>
  <c r="D98" i="3"/>
  <c r="E98" i="3" s="1"/>
  <c r="G165" i="1"/>
  <c r="F165" i="1"/>
  <c r="C166" i="1" s="1"/>
  <c r="D166" i="1" s="1"/>
  <c r="D167" i="4" l="1"/>
  <c r="E167" i="4" s="1"/>
  <c r="F167" i="4" s="1"/>
  <c r="C168" i="4" s="1"/>
  <c r="A234" i="4"/>
  <c r="B233" i="4"/>
  <c r="B233" i="3"/>
  <c r="A234" i="3"/>
  <c r="F98" i="3"/>
  <c r="G166" i="1"/>
  <c r="D168" i="4" l="1"/>
  <c r="E168" i="4" s="1"/>
  <c r="A235" i="4"/>
  <c r="B234" i="4"/>
  <c r="C99" i="3"/>
  <c r="G98" i="3"/>
  <c r="B234" i="3"/>
  <c r="A235" i="3"/>
  <c r="F166" i="1"/>
  <c r="C167" i="1" s="1"/>
  <c r="D167" i="1" s="1"/>
  <c r="F168" i="4" l="1"/>
  <c r="C169" i="4" s="1"/>
  <c r="D169" i="4"/>
  <c r="E169" i="4" s="1"/>
  <c r="A236" i="4"/>
  <c r="B235" i="4"/>
  <c r="D99" i="3"/>
  <c r="A236" i="3"/>
  <c r="B235" i="3"/>
  <c r="F167" i="1"/>
  <c r="C168" i="1" s="1"/>
  <c r="D168" i="1" s="1"/>
  <c r="A237" i="4" l="1"/>
  <c r="B236" i="4"/>
  <c r="F169" i="4"/>
  <c r="C170" i="4" s="1"/>
  <c r="B236" i="3"/>
  <c r="A237" i="3"/>
  <c r="E99" i="3"/>
  <c r="F99" i="3" s="1"/>
  <c r="G167" i="1"/>
  <c r="G168" i="1"/>
  <c r="D170" i="4" l="1"/>
  <c r="B237" i="4"/>
  <c r="A238" i="4"/>
  <c r="C100" i="3"/>
  <c r="G99" i="3"/>
  <c r="A238" i="3"/>
  <c r="B237" i="3"/>
  <c r="F168" i="1"/>
  <c r="C169" i="1" s="1"/>
  <c r="D169" i="1" s="1"/>
  <c r="A239" i="4" l="1"/>
  <c r="B238" i="4"/>
  <c r="E170" i="4"/>
  <c r="F170" i="4" s="1"/>
  <c r="C171" i="4" s="1"/>
  <c r="B238" i="3"/>
  <c r="A239" i="3"/>
  <c r="D100" i="3"/>
  <c r="G169" i="1"/>
  <c r="D171" i="4" l="1"/>
  <c r="B239" i="4"/>
  <c r="A240" i="4"/>
  <c r="F100" i="3"/>
  <c r="E100" i="3"/>
  <c r="B239" i="3"/>
  <c r="A240" i="3"/>
  <c r="F169" i="1"/>
  <c r="C170" i="1" s="1"/>
  <c r="D170" i="1" s="1"/>
  <c r="A241" i="4" l="1"/>
  <c r="B240" i="4"/>
  <c r="E171" i="4"/>
  <c r="F171" i="4" s="1"/>
  <c r="C172" i="4" s="1"/>
  <c r="C101" i="3"/>
  <c r="G100" i="3"/>
  <c r="A241" i="3"/>
  <c r="B240" i="3"/>
  <c r="F170" i="1"/>
  <c r="C171" i="1" s="1"/>
  <c r="D171" i="1" s="1"/>
  <c r="D172" i="4" l="1"/>
  <c r="A242" i="4"/>
  <c r="B241" i="4"/>
  <c r="B241" i="3"/>
  <c r="A242" i="3"/>
  <c r="D101" i="3"/>
  <c r="G171" i="1"/>
  <c r="G170" i="1"/>
  <c r="E172" i="4" l="1"/>
  <c r="F172" i="4" s="1"/>
  <c r="C173" i="4" s="1"/>
  <c r="A243" i="4"/>
  <c r="B242" i="4"/>
  <c r="E101" i="3"/>
  <c r="F101" i="3" s="1"/>
  <c r="B242" i="3"/>
  <c r="A243" i="3"/>
  <c r="F171" i="1"/>
  <c r="C172" i="1" s="1"/>
  <c r="D172" i="1" s="1"/>
  <c r="D173" i="4" l="1"/>
  <c r="E173" i="4"/>
  <c r="F173" i="4" s="1"/>
  <c r="C174" i="4" s="1"/>
  <c r="D174" i="4"/>
  <c r="A244" i="4"/>
  <c r="B243" i="4"/>
  <c r="C102" i="3"/>
  <c r="G101" i="3"/>
  <c r="A244" i="3"/>
  <c r="B243" i="3"/>
  <c r="G172" i="1"/>
  <c r="A245" i="4" l="1"/>
  <c r="B244" i="4"/>
  <c r="E174" i="4"/>
  <c r="F174" i="4" s="1"/>
  <c r="C175" i="4" s="1"/>
  <c r="A245" i="3"/>
  <c r="B244" i="3"/>
  <c r="D102" i="3"/>
  <c r="E102" i="3" s="1"/>
  <c r="F102" i="3" s="1"/>
  <c r="F172" i="1"/>
  <c r="C173" i="1" s="1"/>
  <c r="D173" i="1" s="1"/>
  <c r="D175" i="4" l="1"/>
  <c r="E175" i="4" s="1"/>
  <c r="B245" i="4"/>
  <c r="A246" i="4"/>
  <c r="C103" i="3"/>
  <c r="G102" i="3"/>
  <c r="B245" i="3"/>
  <c r="A246" i="3"/>
  <c r="G173" i="1"/>
  <c r="F175" i="4" l="1"/>
  <c r="C176" i="4" s="1"/>
  <c r="D176" i="4" s="1"/>
  <c r="B246" i="4"/>
  <c r="A247" i="4"/>
  <c r="B246" i="3"/>
  <c r="A247" i="3"/>
  <c r="D103" i="3"/>
  <c r="F173" i="1"/>
  <c r="C174" i="1" s="1"/>
  <c r="D174" i="1" s="1"/>
  <c r="A248" i="4" l="1"/>
  <c r="B247" i="4"/>
  <c r="E176" i="4"/>
  <c r="F176" i="4" s="1"/>
  <c r="C177" i="4" s="1"/>
  <c r="E103" i="3"/>
  <c r="F103" i="3" s="1"/>
  <c r="B247" i="3"/>
  <c r="A248" i="3"/>
  <c r="G174" i="1"/>
  <c r="D177" i="4" l="1"/>
  <c r="B248" i="4"/>
  <c r="A249" i="4"/>
  <c r="C104" i="3"/>
  <c r="G103" i="3"/>
  <c r="A249" i="3"/>
  <c r="B248" i="3"/>
  <c r="F174" i="1"/>
  <c r="C175" i="1" s="1"/>
  <c r="D175" i="1" s="1"/>
  <c r="B249" i="4" l="1"/>
  <c r="A250" i="4"/>
  <c r="E177" i="4"/>
  <c r="F177" i="4" s="1"/>
  <c r="C178" i="4" s="1"/>
  <c r="A250" i="3"/>
  <c r="B249" i="3"/>
  <c r="D104" i="3"/>
  <c r="E104" i="3" s="1"/>
  <c r="F175" i="1"/>
  <c r="C176" i="1" s="1"/>
  <c r="D176" i="1" s="1"/>
  <c r="G175" i="1"/>
  <c r="D178" i="4" l="1"/>
  <c r="E178" i="4"/>
  <c r="F178" i="4" s="1"/>
  <c r="C179" i="4" s="1"/>
  <c r="A251" i="4"/>
  <c r="B250" i="4"/>
  <c r="F104" i="3"/>
  <c r="A251" i="3"/>
  <c r="B250" i="3"/>
  <c r="F176" i="1"/>
  <c r="C177" i="1" s="1"/>
  <c r="D177" i="1" s="1"/>
  <c r="G176" i="1"/>
  <c r="D179" i="4" l="1"/>
  <c r="B251" i="4"/>
  <c r="A252" i="4"/>
  <c r="A252" i="3"/>
  <c r="B251" i="3"/>
  <c r="C105" i="3"/>
  <c r="G104" i="3"/>
  <c r="G177" i="1"/>
  <c r="F177" i="1"/>
  <c r="C178" i="1" s="1"/>
  <c r="D178" i="1" s="1"/>
  <c r="A253" i="4" l="1"/>
  <c r="B252" i="4"/>
  <c r="E179" i="4"/>
  <c r="F179" i="4" s="1"/>
  <c r="C180" i="4" s="1"/>
  <c r="D105" i="3"/>
  <c r="E105" i="3" s="1"/>
  <c r="F105" i="3" s="1"/>
  <c r="B252" i="3"/>
  <c r="A253" i="3"/>
  <c r="F178" i="1"/>
  <c r="C179" i="1" s="1"/>
  <c r="D179" i="1" s="1"/>
  <c r="D180" i="4" l="1"/>
  <c r="E180" i="4" s="1"/>
  <c r="F180" i="4" s="1"/>
  <c r="C181" i="4" s="1"/>
  <c r="B253" i="4"/>
  <c r="A254" i="4"/>
  <c r="C106" i="3"/>
  <c r="G105" i="3"/>
  <c r="A254" i="3"/>
  <c r="B253" i="3"/>
  <c r="G179" i="1"/>
  <c r="G178" i="1"/>
  <c r="D181" i="4" l="1"/>
  <c r="B254" i="4"/>
  <c r="A255" i="4"/>
  <c r="B254" i="3"/>
  <c r="A255" i="3"/>
  <c r="D106" i="3"/>
  <c r="F179" i="1"/>
  <c r="C180" i="1" s="1"/>
  <c r="D180" i="1" s="1"/>
  <c r="E181" i="4" l="1"/>
  <c r="F181" i="4" s="1"/>
  <c r="C182" i="4" s="1"/>
  <c r="A256" i="4"/>
  <c r="B255" i="4"/>
  <c r="E106" i="3"/>
  <c r="F106" i="3" s="1"/>
  <c r="B255" i="3"/>
  <c r="A256" i="3"/>
  <c r="G180" i="1"/>
  <c r="D182" i="4" l="1"/>
  <c r="E182" i="4" s="1"/>
  <c r="F182" i="4" s="1"/>
  <c r="C183" i="4" s="1"/>
  <c r="D183" i="4" s="1"/>
  <c r="B256" i="4"/>
  <c r="A257" i="4"/>
  <c r="C107" i="3"/>
  <c r="G106" i="3"/>
  <c r="B256" i="3"/>
  <c r="A257" i="3"/>
  <c r="F180" i="1"/>
  <c r="C181" i="1" s="1"/>
  <c r="D181" i="1" s="1"/>
  <c r="B257" i="4" l="1"/>
  <c r="A258" i="4"/>
  <c r="E183" i="4"/>
  <c r="F183" i="4" s="1"/>
  <c r="C184" i="4" s="1"/>
  <c r="A258" i="3"/>
  <c r="B257" i="3"/>
  <c r="D107" i="3"/>
  <c r="F181" i="1"/>
  <c r="C182" i="1" s="1"/>
  <c r="D182" i="1" s="1"/>
  <c r="D184" i="4" l="1"/>
  <c r="E184" i="4" s="1"/>
  <c r="F184" i="4" s="1"/>
  <c r="C185" i="4" s="1"/>
  <c r="A259" i="4"/>
  <c r="B258" i="4"/>
  <c r="A259" i="3"/>
  <c r="B258" i="3"/>
  <c r="E107" i="3"/>
  <c r="F107" i="3" s="1"/>
  <c r="G181" i="1"/>
  <c r="G182" i="1"/>
  <c r="F182" i="1"/>
  <c r="C183" i="1" s="1"/>
  <c r="D183" i="1" s="1"/>
  <c r="D185" i="4" l="1"/>
  <c r="A260" i="4"/>
  <c r="B259" i="4"/>
  <c r="C108" i="3"/>
  <c r="G107" i="3"/>
  <c r="A260" i="3"/>
  <c r="B259" i="3"/>
  <c r="F183" i="1"/>
  <c r="C184" i="1" s="1"/>
  <c r="D184" i="1" s="1"/>
  <c r="B260" i="4" l="1"/>
  <c r="A261" i="4"/>
  <c r="E185" i="4"/>
  <c r="F185" i="4" s="1"/>
  <c r="C186" i="4" s="1"/>
  <c r="D108" i="3"/>
  <c r="E108" i="3" s="1"/>
  <c r="F108" i="3" s="1"/>
  <c r="B260" i="3"/>
  <c r="A261" i="3"/>
  <c r="G183" i="1"/>
  <c r="G184" i="1"/>
  <c r="D186" i="4" l="1"/>
  <c r="E186" i="4" s="1"/>
  <c r="F186" i="4" s="1"/>
  <c r="C187" i="4" s="1"/>
  <c r="A262" i="4"/>
  <c r="B261" i="4"/>
  <c r="C109" i="3"/>
  <c r="G108" i="3"/>
  <c r="A262" i="3"/>
  <c r="B261" i="3"/>
  <c r="F184" i="1"/>
  <c r="C185" i="1" s="1"/>
  <c r="D185" i="1" s="1"/>
  <c r="D187" i="4" l="1"/>
  <c r="A263" i="4"/>
  <c r="B262" i="4"/>
  <c r="D109" i="3"/>
  <c r="A263" i="3"/>
  <c r="B262" i="3"/>
  <c r="F185" i="1"/>
  <c r="C186" i="1" s="1"/>
  <c r="D186" i="1" s="1"/>
  <c r="B263" i="4" l="1"/>
  <c r="A264" i="4"/>
  <c r="E187" i="4"/>
  <c r="F187" i="4" s="1"/>
  <c r="C188" i="4" s="1"/>
  <c r="B263" i="3"/>
  <c r="A264" i="3"/>
  <c r="E109" i="3"/>
  <c r="F109" i="3" s="1"/>
  <c r="G185" i="1"/>
  <c r="G186" i="1"/>
  <c r="D188" i="4" l="1"/>
  <c r="E188" i="4" s="1"/>
  <c r="F188" i="4" s="1"/>
  <c r="C189" i="4" s="1"/>
  <c r="B264" i="4"/>
  <c r="A265" i="4"/>
  <c r="C110" i="3"/>
  <c r="G109" i="3"/>
  <c r="A265" i="3"/>
  <c r="B264" i="3"/>
  <c r="F186" i="1"/>
  <c r="C187" i="1" s="1"/>
  <c r="D187" i="1" s="1"/>
  <c r="D189" i="4" l="1"/>
  <c r="E189" i="4" s="1"/>
  <c r="F189" i="4" s="1"/>
  <c r="C190" i="4" s="1"/>
  <c r="A266" i="4"/>
  <c r="B265" i="4"/>
  <c r="A266" i="3"/>
  <c r="B265" i="3"/>
  <c r="D110" i="3"/>
  <c r="G187" i="1"/>
  <c r="D190" i="4" l="1"/>
  <c r="E190" i="4" s="1"/>
  <c r="F190" i="4" s="1"/>
  <c r="C191" i="4" s="1"/>
  <c r="A267" i="4"/>
  <c r="B266" i="4"/>
  <c r="E110" i="3"/>
  <c r="F110" i="3" s="1"/>
  <c r="B266" i="3"/>
  <c r="A267" i="3"/>
  <c r="F187" i="1"/>
  <c r="C188" i="1" s="1"/>
  <c r="D188" i="1" s="1"/>
  <c r="D191" i="4" l="1"/>
  <c r="E191" i="4" s="1"/>
  <c r="F191" i="4" s="1"/>
  <c r="C192" i="4" s="1"/>
  <c r="B267" i="4"/>
  <c r="A268" i="4"/>
  <c r="C111" i="3"/>
  <c r="G110" i="3"/>
  <c r="A268" i="3"/>
  <c r="B267" i="3"/>
  <c r="G188" i="1"/>
  <c r="F188" i="1"/>
  <c r="C189" i="1" s="1"/>
  <c r="D189" i="1" s="1"/>
  <c r="D192" i="4" l="1"/>
  <c r="E192" i="4"/>
  <c r="A269" i="4"/>
  <c r="B268" i="4"/>
  <c r="A269" i="3"/>
  <c r="B268" i="3"/>
  <c r="D111" i="3"/>
  <c r="E111" i="3"/>
  <c r="F111" i="3" s="1"/>
  <c r="G189" i="1"/>
  <c r="F192" i="4" l="1"/>
  <c r="C193" i="4" s="1"/>
  <c r="D193" i="4" s="1"/>
  <c r="B269" i="4"/>
  <c r="A270" i="4"/>
  <c r="C112" i="3"/>
  <c r="G111" i="3"/>
  <c r="A270" i="3"/>
  <c r="B269" i="3"/>
  <c r="F189" i="1"/>
  <c r="C190" i="1" s="1"/>
  <c r="D190" i="1" s="1"/>
  <c r="A271" i="4" l="1"/>
  <c r="B270" i="4"/>
  <c r="E193" i="4"/>
  <c r="F193" i="4" s="1"/>
  <c r="C194" i="4" s="1"/>
  <c r="A271" i="3"/>
  <c r="B270" i="3"/>
  <c r="D112" i="3"/>
  <c r="G190" i="1"/>
  <c r="D194" i="4" l="1"/>
  <c r="E194" i="4" s="1"/>
  <c r="A272" i="4"/>
  <c r="B271" i="4"/>
  <c r="F112" i="3"/>
  <c r="E112" i="3"/>
  <c r="A272" i="3"/>
  <c r="B271" i="3"/>
  <c r="F190" i="1"/>
  <c r="C191" i="1" s="1"/>
  <c r="D191" i="1" s="1"/>
  <c r="F194" i="4" l="1"/>
  <c r="C195" i="4" s="1"/>
  <c r="D195" i="4"/>
  <c r="E195" i="4" s="1"/>
  <c r="F195" i="4" s="1"/>
  <c r="C196" i="4" s="1"/>
  <c r="B272" i="4"/>
  <c r="A273" i="4"/>
  <c r="C113" i="3"/>
  <c r="G112" i="3"/>
  <c r="B272" i="3"/>
  <c r="A273" i="3"/>
  <c r="F191" i="1"/>
  <c r="C192" i="1" s="1"/>
  <c r="D192" i="1" s="1"/>
  <c r="G191" i="1"/>
  <c r="D196" i="4" l="1"/>
  <c r="E196" i="4"/>
  <c r="F196" i="4" s="1"/>
  <c r="C197" i="4" s="1"/>
  <c r="B273" i="4"/>
  <c r="A274" i="4"/>
  <c r="A274" i="3"/>
  <c r="B273" i="3"/>
  <c r="D113" i="3"/>
  <c r="F192" i="1"/>
  <c r="C193" i="1" s="1"/>
  <c r="D193" i="1" s="1"/>
  <c r="G192" i="1"/>
  <c r="D197" i="4" l="1"/>
  <c r="E197" i="4" s="1"/>
  <c r="A275" i="4"/>
  <c r="B274" i="4"/>
  <c r="E113" i="3"/>
  <c r="F113" i="3" s="1"/>
  <c r="B274" i="3"/>
  <c r="A275" i="3"/>
  <c r="G193" i="1"/>
  <c r="F193" i="1"/>
  <c r="C194" i="1" s="1"/>
  <c r="D194" i="1" s="1"/>
  <c r="B275" i="4" l="1"/>
  <c r="A276" i="4"/>
  <c r="F197" i="4"/>
  <c r="C198" i="4" s="1"/>
  <c r="C114" i="3"/>
  <c r="G113" i="3"/>
  <c r="A276" i="3"/>
  <c r="B275" i="3"/>
  <c r="F194" i="1"/>
  <c r="C195" i="1" s="1"/>
  <c r="D195" i="1" s="1"/>
  <c r="D198" i="4" l="1"/>
  <c r="E198" i="4" s="1"/>
  <c r="A277" i="4"/>
  <c r="B276" i="4"/>
  <c r="B276" i="3"/>
  <c r="A277" i="3"/>
  <c r="D114" i="3"/>
  <c r="E114" i="3" s="1"/>
  <c r="G194" i="1"/>
  <c r="G195" i="1"/>
  <c r="A278" i="4" l="1"/>
  <c r="B277" i="4"/>
  <c r="F198" i="4"/>
  <c r="C199" i="4" s="1"/>
  <c r="F114" i="3"/>
  <c r="B277" i="3"/>
  <c r="A278" i="3"/>
  <c r="F195" i="1"/>
  <c r="C196" i="1" s="1"/>
  <c r="D196" i="1" s="1"/>
  <c r="D199" i="4" l="1"/>
  <c r="E199" i="4" s="1"/>
  <c r="F199" i="4" s="1"/>
  <c r="C200" i="4" s="1"/>
  <c r="A279" i="4"/>
  <c r="B278" i="4"/>
  <c r="A279" i="3"/>
  <c r="B278" i="3"/>
  <c r="C115" i="3"/>
  <c r="G114" i="3"/>
  <c r="F196" i="1"/>
  <c r="C197" i="1" s="1"/>
  <c r="D197" i="1" s="1"/>
  <c r="G196" i="1"/>
  <c r="D200" i="4" l="1"/>
  <c r="B279" i="4"/>
  <c r="A280" i="4"/>
  <c r="D115" i="3"/>
  <c r="E115" i="3"/>
  <c r="F115" i="3" s="1"/>
  <c r="B279" i="3"/>
  <c r="A280" i="3"/>
  <c r="G197" i="1"/>
  <c r="B280" i="4" l="1"/>
  <c r="A281" i="4"/>
  <c r="E200" i="4"/>
  <c r="F200" i="4" s="1"/>
  <c r="C201" i="4" s="1"/>
  <c r="C116" i="3"/>
  <c r="G115" i="3"/>
  <c r="B280" i="3"/>
  <c r="A281" i="3"/>
  <c r="F197" i="1"/>
  <c r="C198" i="1" s="1"/>
  <c r="D198" i="1" s="1"/>
  <c r="D201" i="4" l="1"/>
  <c r="A282" i="4"/>
  <c r="B281" i="4"/>
  <c r="A282" i="3"/>
  <c r="B281" i="3"/>
  <c r="D116" i="3"/>
  <c r="E116" i="3" s="1"/>
  <c r="F198" i="1"/>
  <c r="C199" i="1" s="1"/>
  <c r="D199" i="1" s="1"/>
  <c r="G198" i="1"/>
  <c r="A283" i="4" l="1"/>
  <c r="B282" i="4"/>
  <c r="E201" i="4"/>
  <c r="F201" i="4" s="1"/>
  <c r="C202" i="4" s="1"/>
  <c r="A283" i="3"/>
  <c r="B282" i="3"/>
  <c r="F116" i="3"/>
  <c r="G199" i="1"/>
  <c r="D202" i="4" l="1"/>
  <c r="B283" i="4"/>
  <c r="A284" i="4"/>
  <c r="B283" i="3"/>
  <c r="A284" i="3"/>
  <c r="C117" i="3"/>
  <c r="G116" i="3"/>
  <c r="F199" i="1"/>
  <c r="C200" i="1" s="1"/>
  <c r="D200" i="1" s="1"/>
  <c r="E202" i="4" l="1"/>
  <c r="F202" i="4" s="1"/>
  <c r="C203" i="4" s="1"/>
  <c r="B284" i="4"/>
  <c r="A285" i="4"/>
  <c r="D117" i="3"/>
  <c r="A285" i="3"/>
  <c r="B284" i="3"/>
  <c r="F200" i="1"/>
  <c r="C201" i="1" s="1"/>
  <c r="D201" i="1" s="1"/>
  <c r="D203" i="4" l="1"/>
  <c r="A286" i="4"/>
  <c r="B285" i="4"/>
  <c r="A286" i="3"/>
  <c r="B285" i="3"/>
  <c r="E117" i="3"/>
  <c r="F117" i="3" s="1"/>
  <c r="G200" i="1"/>
  <c r="G201" i="1"/>
  <c r="F201" i="1"/>
  <c r="C202" i="1" s="1"/>
  <c r="D202" i="1" s="1"/>
  <c r="A287" i="4" l="1"/>
  <c r="B286" i="4"/>
  <c r="E203" i="4"/>
  <c r="F203" i="4" s="1"/>
  <c r="C204" i="4" s="1"/>
  <c r="C118" i="3"/>
  <c r="G117" i="3"/>
  <c r="A287" i="3"/>
  <c r="B286" i="3"/>
  <c r="G202" i="1"/>
  <c r="D204" i="4" l="1"/>
  <c r="E204" i="4" s="1"/>
  <c r="F204" i="4" s="1"/>
  <c r="C205" i="4" s="1"/>
  <c r="A288" i="4"/>
  <c r="B287" i="4"/>
  <c r="B287" i="3"/>
  <c r="A288" i="3"/>
  <c r="D118" i="3"/>
  <c r="F202" i="1"/>
  <c r="C203" i="1" s="1"/>
  <c r="D203" i="1" s="1"/>
  <c r="D205" i="4" l="1"/>
  <c r="E205" i="4" s="1"/>
  <c r="F205" i="4" s="1"/>
  <c r="C206" i="4" s="1"/>
  <c r="A289" i="4"/>
  <c r="B288" i="4"/>
  <c r="E118" i="3"/>
  <c r="F118" i="3" s="1"/>
  <c r="B288" i="3"/>
  <c r="A289" i="3"/>
  <c r="G203" i="1"/>
  <c r="D206" i="4" l="1"/>
  <c r="E206" i="4" s="1"/>
  <c r="B289" i="4"/>
  <c r="A290" i="4"/>
  <c r="C119" i="3"/>
  <c r="G118" i="3"/>
  <c r="A290" i="3"/>
  <c r="B289" i="3"/>
  <c r="F203" i="1"/>
  <c r="C204" i="1" s="1"/>
  <c r="D204" i="1" s="1"/>
  <c r="A291" i="4" l="1"/>
  <c r="B290" i="4"/>
  <c r="F206" i="4"/>
  <c r="C207" i="4" s="1"/>
  <c r="B290" i="3"/>
  <c r="A291" i="3"/>
  <c r="D119" i="3"/>
  <c r="E119" i="3"/>
  <c r="F119" i="3" s="1"/>
  <c r="F204" i="1"/>
  <c r="C205" i="1" s="1"/>
  <c r="D205" i="1" s="1"/>
  <c r="D207" i="4" l="1"/>
  <c r="B291" i="4"/>
  <c r="A292" i="4"/>
  <c r="C120" i="3"/>
  <c r="G119" i="3"/>
  <c r="A292" i="3"/>
  <c r="B291" i="3"/>
  <c r="G204" i="1"/>
  <c r="G205" i="1"/>
  <c r="B292" i="4" l="1"/>
  <c r="A293" i="4"/>
  <c r="E207" i="4"/>
  <c r="F207" i="4" s="1"/>
  <c r="C208" i="4" s="1"/>
  <c r="A293" i="3"/>
  <c r="B292" i="3"/>
  <c r="D120" i="3"/>
  <c r="E120" i="3" s="1"/>
  <c r="F205" i="1"/>
  <c r="C206" i="1" s="1"/>
  <c r="D206" i="1" s="1"/>
  <c r="D208" i="4" l="1"/>
  <c r="E208" i="4" s="1"/>
  <c r="F208" i="4" s="1"/>
  <c r="C209" i="4" s="1"/>
  <c r="A294" i="4"/>
  <c r="B293" i="4"/>
  <c r="F120" i="3"/>
  <c r="A294" i="3"/>
  <c r="B293" i="3"/>
  <c r="F206" i="1"/>
  <c r="C207" i="1" s="1"/>
  <c r="D207" i="1" s="1"/>
  <c r="D209" i="4" l="1"/>
  <c r="B294" i="4"/>
  <c r="A295" i="4"/>
  <c r="A295" i="3"/>
  <c r="B294" i="3"/>
  <c r="C121" i="3"/>
  <c r="G120" i="3"/>
  <c r="F207" i="1"/>
  <c r="C208" i="1" s="1"/>
  <c r="D208" i="1" s="1"/>
  <c r="G207" i="1"/>
  <c r="G206" i="1"/>
  <c r="A296" i="4" l="1"/>
  <c r="B295" i="4"/>
  <c r="E209" i="4"/>
  <c r="F209" i="4" s="1"/>
  <c r="C210" i="4" s="1"/>
  <c r="D121" i="3"/>
  <c r="E121" i="3" s="1"/>
  <c r="B295" i="3"/>
  <c r="A296" i="3"/>
  <c r="F208" i="1"/>
  <c r="C209" i="1" s="1"/>
  <c r="D209" i="1" s="1"/>
  <c r="G208" i="1"/>
  <c r="D210" i="4" l="1"/>
  <c r="E210" i="4" s="1"/>
  <c r="A297" i="4"/>
  <c r="B296" i="4"/>
  <c r="F121" i="3"/>
  <c r="A297" i="3"/>
  <c r="B296" i="3"/>
  <c r="G209" i="1"/>
  <c r="F210" i="4" l="1"/>
  <c r="C211" i="4" s="1"/>
  <c r="B297" i="4"/>
  <c r="A298" i="4"/>
  <c r="C122" i="3"/>
  <c r="G121" i="3"/>
  <c r="A298" i="3"/>
  <c r="B297" i="3"/>
  <c r="F209" i="1"/>
  <c r="C210" i="1" s="1"/>
  <c r="D210" i="1" s="1"/>
  <c r="A299" i="4" l="1"/>
  <c r="B298" i="4"/>
  <c r="D211" i="4"/>
  <c r="B298" i="3"/>
  <c r="A299" i="3"/>
  <c r="D122" i="3"/>
  <c r="E122" i="3"/>
  <c r="F122" i="3"/>
  <c r="C123" i="3" s="1"/>
  <c r="F210" i="1"/>
  <c r="C211" i="1" s="1"/>
  <c r="D211" i="1" s="1"/>
  <c r="G210" i="1"/>
  <c r="E211" i="4" l="1"/>
  <c r="F211" i="4" s="1"/>
  <c r="C212" i="4" s="1"/>
  <c r="A300" i="4"/>
  <c r="B299" i="4"/>
  <c r="E123" i="3"/>
  <c r="D123" i="3"/>
  <c r="F123" i="3" s="1"/>
  <c r="G122" i="3"/>
  <c r="B299" i="3"/>
  <c r="A300" i="3"/>
  <c r="G211" i="1"/>
  <c r="D212" i="4" l="1"/>
  <c r="E212" i="4" s="1"/>
  <c r="F212" i="4" s="1"/>
  <c r="C213" i="4" s="1"/>
  <c r="B300" i="4"/>
  <c r="A301" i="4"/>
  <c r="C124" i="3"/>
  <c r="G123" i="3"/>
  <c r="A301" i="3"/>
  <c r="B300" i="3"/>
  <c r="F211" i="1"/>
  <c r="C212" i="1" s="1"/>
  <c r="D212" i="1" s="1"/>
  <c r="D213" i="4" l="1"/>
  <c r="A302" i="4"/>
  <c r="B301" i="4"/>
  <c r="A302" i="3"/>
  <c r="B301" i="3"/>
  <c r="D124" i="3"/>
  <c r="G212" i="1"/>
  <c r="B302" i="4" l="1"/>
  <c r="A303" i="4"/>
  <c r="E213" i="4"/>
  <c r="F213" i="4" s="1"/>
  <c r="C214" i="4" s="1"/>
  <c r="E124" i="3"/>
  <c r="F124" i="3" s="1"/>
  <c r="B302" i="3"/>
  <c r="A303" i="3"/>
  <c r="F212" i="1"/>
  <c r="C213" i="1" s="1"/>
  <c r="D213" i="1" s="1"/>
  <c r="D214" i="4" l="1"/>
  <c r="E214" i="4" s="1"/>
  <c r="A304" i="4"/>
  <c r="B303" i="4"/>
  <c r="C125" i="3"/>
  <c r="G124" i="3"/>
  <c r="B303" i="3"/>
  <c r="A304" i="3"/>
  <c r="G213" i="1"/>
  <c r="A305" i="4" l="1"/>
  <c r="B304" i="4"/>
  <c r="F214" i="4"/>
  <c r="C215" i="4" s="1"/>
  <c r="B304" i="3"/>
  <c r="A305" i="3"/>
  <c r="D125" i="3"/>
  <c r="E125" i="3"/>
  <c r="F125" i="3" s="1"/>
  <c r="F213" i="1"/>
  <c r="C214" i="1" s="1"/>
  <c r="D214" i="1" s="1"/>
  <c r="D215" i="4" l="1"/>
  <c r="E215" i="4" s="1"/>
  <c r="F215" i="4" s="1"/>
  <c r="C216" i="4" s="1"/>
  <c r="B305" i="4"/>
  <c r="A306" i="4"/>
  <c r="C126" i="3"/>
  <c r="G125" i="3"/>
  <c r="A306" i="3"/>
  <c r="B305" i="3"/>
  <c r="F214" i="1"/>
  <c r="C215" i="1" s="1"/>
  <c r="D215" i="1" s="1"/>
  <c r="G214" i="1"/>
  <c r="D216" i="4" l="1"/>
  <c r="E216" i="4"/>
  <c r="F216" i="4" s="1"/>
  <c r="C217" i="4" s="1"/>
  <c r="A307" i="4"/>
  <c r="B306" i="4"/>
  <c r="B306" i="3"/>
  <c r="A307" i="3"/>
  <c r="D126" i="3"/>
  <c r="G215" i="1"/>
  <c r="D217" i="4" l="1"/>
  <c r="A308" i="4"/>
  <c r="B307" i="4"/>
  <c r="E126" i="3"/>
  <c r="F126" i="3" s="1"/>
  <c r="A308" i="3"/>
  <c r="B307" i="3"/>
  <c r="F215" i="1"/>
  <c r="C216" i="1" s="1"/>
  <c r="D216" i="1" s="1"/>
  <c r="A309" i="4" l="1"/>
  <c r="B308" i="4"/>
  <c r="E217" i="4"/>
  <c r="F217" i="4" s="1"/>
  <c r="C218" i="4" s="1"/>
  <c r="C127" i="3"/>
  <c r="G126" i="3"/>
  <c r="A309" i="3"/>
  <c r="B308" i="3"/>
  <c r="G216" i="1"/>
  <c r="D218" i="4" l="1"/>
  <c r="A310" i="4"/>
  <c r="B309" i="4"/>
  <c r="D127" i="3"/>
  <c r="A310" i="3"/>
  <c r="B309" i="3"/>
  <c r="F216" i="1"/>
  <c r="D6" i="1" s="1" a="1"/>
  <c r="D6" i="1" s="1"/>
  <c r="F6" i="1" s="1"/>
  <c r="B310" i="4" l="1"/>
  <c r="A311" i="4"/>
  <c r="E218" i="4"/>
  <c r="F218" i="4" s="1"/>
  <c r="C219" i="4" s="1"/>
  <c r="A311" i="3"/>
  <c r="B310" i="3"/>
  <c r="E127" i="3"/>
  <c r="F127" i="3" s="1"/>
  <c r="D219" i="4" l="1"/>
  <c r="E219" i="4" s="1"/>
  <c r="B311" i="4"/>
  <c r="A312" i="4"/>
  <c r="C128" i="3"/>
  <c r="G127" i="3"/>
  <c r="B311" i="3"/>
  <c r="A312" i="3"/>
  <c r="F219" i="4" l="1"/>
  <c r="C220" i="4" s="1"/>
  <c r="D220" i="4"/>
  <c r="E220" i="4" s="1"/>
  <c r="F220" i="4" s="1"/>
  <c r="C221" i="4" s="1"/>
  <c r="A313" i="4"/>
  <c r="B312" i="4"/>
  <c r="D128" i="3"/>
  <c r="E128" i="3"/>
  <c r="F128" i="3" s="1"/>
  <c r="A313" i="3"/>
  <c r="B312" i="3"/>
  <c r="D221" i="4" l="1"/>
  <c r="A314" i="4"/>
  <c r="B313" i="4"/>
  <c r="C129" i="3"/>
  <c r="G128" i="3"/>
  <c r="B313" i="3"/>
  <c r="A314" i="3"/>
  <c r="A315" i="4" l="1"/>
  <c r="B314" i="4"/>
  <c r="E221" i="4"/>
  <c r="F221" i="4" s="1"/>
  <c r="C222" i="4" s="1"/>
  <c r="A315" i="3"/>
  <c r="B314" i="3"/>
  <c r="D129" i="3"/>
  <c r="D222" i="4" l="1"/>
  <c r="E222" i="4"/>
  <c r="F222" i="4" s="1"/>
  <c r="C223" i="4" s="1"/>
  <c r="A316" i="4"/>
  <c r="B315" i="4"/>
  <c r="E129" i="3"/>
  <c r="F129" i="3" s="1"/>
  <c r="B315" i="3"/>
  <c r="A316" i="3"/>
  <c r="D223" i="4" l="1"/>
  <c r="E223" i="4" s="1"/>
  <c r="A317" i="4"/>
  <c r="B316" i="4"/>
  <c r="C130" i="3"/>
  <c r="G129" i="3"/>
  <c r="A317" i="3"/>
  <c r="B316" i="3"/>
  <c r="A318" i="4" l="1"/>
  <c r="B317" i="4"/>
  <c r="F223" i="4"/>
  <c r="C224" i="4" s="1"/>
  <c r="A318" i="3"/>
  <c r="B317" i="3"/>
  <c r="D130" i="3"/>
  <c r="E130" i="3"/>
  <c r="F130" i="3" s="1"/>
  <c r="D224" i="4" l="1"/>
  <c r="B318" i="4"/>
  <c r="A319" i="4"/>
  <c r="C131" i="3"/>
  <c r="G130" i="3"/>
  <c r="B318" i="3"/>
  <c r="A319" i="3"/>
  <c r="B319" i="4" l="1"/>
  <c r="A320" i="4"/>
  <c r="E224" i="4"/>
  <c r="F224" i="4" s="1"/>
  <c r="C225" i="4" s="1"/>
  <c r="B319" i="3"/>
  <c r="A320" i="3"/>
  <c r="D131" i="3"/>
  <c r="D225" i="4" l="1"/>
  <c r="A321" i="4"/>
  <c r="B320" i="4"/>
  <c r="E131" i="3"/>
  <c r="F131" i="3" s="1"/>
  <c r="B320" i="3"/>
  <c r="A321" i="3"/>
  <c r="A322" i="4" l="1"/>
  <c r="B321" i="4"/>
  <c r="E225" i="4"/>
  <c r="F225" i="4" s="1"/>
  <c r="C226" i="4" s="1"/>
  <c r="C132" i="3"/>
  <c r="G131" i="3"/>
  <c r="A322" i="3"/>
  <c r="B321" i="3"/>
  <c r="D226" i="4" l="1"/>
  <c r="E226" i="4" s="1"/>
  <c r="F226" i="4" s="1"/>
  <c r="C227" i="4" s="1"/>
  <c r="B322" i="4"/>
  <c r="A323" i="4"/>
  <c r="D132" i="3"/>
  <c r="A323" i="3"/>
  <c r="B322" i="3"/>
  <c r="D227" i="4" l="1"/>
  <c r="E227" i="4" s="1"/>
  <c r="B323" i="4"/>
  <c r="A324" i="4"/>
  <c r="E132" i="3"/>
  <c r="F132" i="3" s="1"/>
  <c r="A324" i="3"/>
  <c r="B323" i="3"/>
  <c r="F227" i="4" l="1"/>
  <c r="C228" i="4" s="1"/>
  <c r="D228" i="4" s="1"/>
  <c r="E228" i="4" s="1"/>
  <c r="F228" i="4" s="1"/>
  <c r="C229" i="4" s="1"/>
  <c r="A325" i="4"/>
  <c r="B324" i="4"/>
  <c r="C133" i="3"/>
  <c r="G132" i="3"/>
  <c r="B324" i="3"/>
  <c r="A325" i="3"/>
  <c r="D229" i="4" l="1"/>
  <c r="E229" i="4" s="1"/>
  <c r="A326" i="4"/>
  <c r="B325" i="4"/>
  <c r="D133" i="3"/>
  <c r="A326" i="3"/>
  <c r="B325" i="3"/>
  <c r="B326" i="4" l="1"/>
  <c r="A327" i="4"/>
  <c r="F229" i="4"/>
  <c r="C230" i="4" s="1"/>
  <c r="A327" i="3"/>
  <c r="B326" i="3"/>
  <c r="E133" i="3"/>
  <c r="F133" i="3" s="1"/>
  <c r="D230" i="4" l="1"/>
  <c r="E230" i="4" s="1"/>
  <c r="A328" i="4"/>
  <c r="B327" i="4"/>
  <c r="C134" i="3"/>
  <c r="G133" i="3"/>
  <c r="B327" i="3"/>
  <c r="A328" i="3"/>
  <c r="A329" i="4" l="1"/>
  <c r="B328" i="4"/>
  <c r="F230" i="4"/>
  <c r="C231" i="4" s="1"/>
  <c r="E134" i="3"/>
  <c r="D134" i="3"/>
  <c r="F134" i="3" s="1"/>
  <c r="A329" i="3"/>
  <c r="B328" i="3"/>
  <c r="D231" i="4" l="1"/>
  <c r="A330" i="4"/>
  <c r="B329" i="4"/>
  <c r="C135" i="3"/>
  <c r="G134" i="3"/>
  <c r="B329" i="3"/>
  <c r="A330" i="3"/>
  <c r="A331" i="4" l="1"/>
  <c r="B330" i="4"/>
  <c r="E231" i="4"/>
  <c r="F231" i="4" s="1"/>
  <c r="C232" i="4" s="1"/>
  <c r="A331" i="3"/>
  <c r="B330" i="3"/>
  <c r="D135" i="3"/>
  <c r="D232" i="4" l="1"/>
  <c r="A332" i="4"/>
  <c r="B331" i="4"/>
  <c r="E135" i="3"/>
  <c r="F135" i="3" s="1"/>
  <c r="B331" i="3"/>
  <c r="A332" i="3"/>
  <c r="A333" i="4" l="1"/>
  <c r="B332" i="4"/>
  <c r="E232" i="4"/>
  <c r="F232" i="4" s="1"/>
  <c r="C233" i="4" s="1"/>
  <c r="C136" i="3"/>
  <c r="G135" i="3"/>
  <c r="B332" i="3"/>
  <c r="A333" i="3"/>
  <c r="D233" i="4" l="1"/>
  <c r="E233" i="4"/>
  <c r="A334" i="4"/>
  <c r="B333" i="4"/>
  <c r="D136" i="3"/>
  <c r="A334" i="3"/>
  <c r="B333" i="3"/>
  <c r="F233" i="4" l="1"/>
  <c r="C234" i="4" s="1"/>
  <c r="D234" i="4"/>
  <c r="E234" i="4" s="1"/>
  <c r="B334" i="4"/>
  <c r="A335" i="4"/>
  <c r="B334" i="3"/>
  <c r="A335" i="3"/>
  <c r="E136" i="3"/>
  <c r="F136" i="3" s="1"/>
  <c r="A336" i="4" l="1"/>
  <c r="B335" i="4"/>
  <c r="F234" i="4"/>
  <c r="C235" i="4" s="1"/>
  <c r="C137" i="3"/>
  <c r="G136" i="3"/>
  <c r="B335" i="3"/>
  <c r="A336" i="3"/>
  <c r="D235" i="4" l="1"/>
  <c r="A337" i="4"/>
  <c r="B336" i="4"/>
  <c r="B336" i="3"/>
  <c r="A337" i="3"/>
  <c r="D137" i="3"/>
  <c r="E137" i="3" s="1"/>
  <c r="F137" i="3" s="1"/>
  <c r="B337" i="4" l="1"/>
  <c r="A338" i="4"/>
  <c r="E235" i="4"/>
  <c r="F235" i="4" s="1"/>
  <c r="C236" i="4" s="1"/>
  <c r="C138" i="3"/>
  <c r="G137" i="3"/>
  <c r="A338" i="3"/>
  <c r="B337" i="3"/>
  <c r="D236" i="4" l="1"/>
  <c r="E236" i="4" s="1"/>
  <c r="F236" i="4" s="1"/>
  <c r="C237" i="4" s="1"/>
  <c r="A339" i="4"/>
  <c r="B338" i="4"/>
  <c r="A339" i="3"/>
  <c r="B338" i="3"/>
  <c r="D138" i="3"/>
  <c r="D237" i="4" l="1"/>
  <c r="E237" i="4" s="1"/>
  <c r="A340" i="4"/>
  <c r="B339" i="4"/>
  <c r="E138" i="3"/>
  <c r="F138" i="3" s="1"/>
  <c r="A340" i="3"/>
  <c r="B339" i="3"/>
  <c r="B340" i="4" l="1"/>
  <c r="A341" i="4"/>
  <c r="F237" i="4"/>
  <c r="C238" i="4" s="1"/>
  <c r="C139" i="3"/>
  <c r="G138" i="3"/>
  <c r="B340" i="3"/>
  <c r="A341" i="3"/>
  <c r="D238" i="4" l="1"/>
  <c r="E238" i="4" s="1"/>
  <c r="F238" i="4" s="1"/>
  <c r="C239" i="4" s="1"/>
  <c r="B341" i="4"/>
  <c r="A342" i="4"/>
  <c r="D139" i="3"/>
  <c r="A342" i="3"/>
  <c r="B341" i="3"/>
  <c r="D239" i="4" l="1"/>
  <c r="B342" i="4"/>
  <c r="A343" i="4"/>
  <c r="E139" i="3"/>
  <c r="F139" i="3" s="1"/>
  <c r="A343" i="3"/>
  <c r="B342" i="3"/>
  <c r="B343" i="4" l="1"/>
  <c r="A344" i="4"/>
  <c r="E239" i="4"/>
  <c r="F239" i="4" s="1"/>
  <c r="C240" i="4" s="1"/>
  <c r="C140" i="3"/>
  <c r="G139" i="3"/>
  <c r="B343" i="3"/>
  <c r="A344" i="3"/>
  <c r="D240" i="4" l="1"/>
  <c r="E240" i="4" s="1"/>
  <c r="F240" i="4" s="1"/>
  <c r="C241" i="4" s="1"/>
  <c r="A345" i="4"/>
  <c r="B344" i="4"/>
  <c r="A345" i="3"/>
  <c r="B344" i="3"/>
  <c r="D140" i="3"/>
  <c r="D241" i="4" l="1"/>
  <c r="E241" i="4" s="1"/>
  <c r="A346" i="4"/>
  <c r="B345" i="4"/>
  <c r="E140" i="3"/>
  <c r="F140" i="3" s="1"/>
  <c r="B345" i="3"/>
  <c r="A346" i="3"/>
  <c r="F241" i="4" l="1"/>
  <c r="C242" i="4" s="1"/>
  <c r="D242" i="4" s="1"/>
  <c r="B346" i="4"/>
  <c r="A347" i="4"/>
  <c r="C141" i="3"/>
  <c r="G140" i="3"/>
  <c r="A347" i="3"/>
  <c r="B346" i="3"/>
  <c r="E242" i="4" l="1"/>
  <c r="F242" i="4" s="1"/>
  <c r="C243" i="4" s="1"/>
  <c r="A348" i="4"/>
  <c r="B347" i="4"/>
  <c r="B347" i="3"/>
  <c r="A348" i="3"/>
  <c r="D141" i="3"/>
  <c r="D243" i="4" l="1"/>
  <c r="A349" i="4"/>
  <c r="B348" i="4"/>
  <c r="E141" i="3"/>
  <c r="F141" i="3" s="1"/>
  <c r="B348" i="3"/>
  <c r="A349" i="3"/>
  <c r="B349" i="4" l="1"/>
  <c r="A350" i="4"/>
  <c r="E243" i="4"/>
  <c r="F243" i="4" s="1"/>
  <c r="C244" i="4" s="1"/>
  <c r="C142" i="3"/>
  <c r="G141" i="3"/>
  <c r="A350" i="3"/>
  <c r="B349" i="3"/>
  <c r="D244" i="4" l="1"/>
  <c r="E244" i="4" s="1"/>
  <c r="F244" i="4" s="1"/>
  <c r="C245" i="4" s="1"/>
  <c r="B350" i="4"/>
  <c r="A351" i="4"/>
  <c r="B350" i="3"/>
  <c r="A351" i="3"/>
  <c r="D142" i="3"/>
  <c r="D245" i="4" l="1"/>
  <c r="E245" i="4" s="1"/>
  <c r="F245" i="4" s="1"/>
  <c r="C246" i="4" s="1"/>
  <c r="A352" i="4"/>
  <c r="B351" i="4"/>
  <c r="E142" i="3"/>
  <c r="F142" i="3" s="1"/>
  <c r="B351" i="3"/>
  <c r="A352" i="3"/>
  <c r="D246" i="4" l="1"/>
  <c r="E246" i="4" s="1"/>
  <c r="F246" i="4" s="1"/>
  <c r="C247" i="4" s="1"/>
  <c r="A353" i="4"/>
  <c r="B352" i="4"/>
  <c r="C143" i="3"/>
  <c r="G142" i="3"/>
  <c r="B352" i="3"/>
  <c r="A353" i="3"/>
  <c r="D247" i="4" l="1"/>
  <c r="E247" i="4"/>
  <c r="F247" i="4" s="1"/>
  <c r="C248" i="4" s="1"/>
  <c r="B353" i="4"/>
  <c r="A354" i="4"/>
  <c r="A354" i="3"/>
  <c r="B353" i="3"/>
  <c r="D143" i="3"/>
  <c r="D248" i="4" l="1"/>
  <c r="E248" i="4" s="1"/>
  <c r="F248" i="4" s="1"/>
  <c r="C249" i="4" s="1"/>
  <c r="A355" i="4"/>
  <c r="B354" i="4"/>
  <c r="F143" i="3"/>
  <c r="B354" i="3"/>
  <c r="A355" i="3"/>
  <c r="E143" i="3"/>
  <c r="D249" i="4" l="1"/>
  <c r="F249" i="4" s="1"/>
  <c r="C250" i="4" s="1"/>
  <c r="E249" i="4"/>
  <c r="B355" i="4"/>
  <c r="A356" i="4"/>
  <c r="C144" i="3"/>
  <c r="G143" i="3"/>
  <c r="A356" i="3"/>
  <c r="B355" i="3"/>
  <c r="B356" i="4" l="1"/>
  <c r="A357" i="4"/>
  <c r="D250" i="4"/>
  <c r="E250" i="4"/>
  <c r="D144" i="3"/>
  <c r="E144" i="3"/>
  <c r="F144" i="3" s="1"/>
  <c r="B356" i="3"/>
  <c r="A357" i="3"/>
  <c r="F250" i="4" l="1"/>
  <c r="C251" i="4" s="1"/>
  <c r="D251" i="4" s="1"/>
  <c r="A358" i="4"/>
  <c r="B357" i="4"/>
  <c r="C145" i="3"/>
  <c r="G144" i="3"/>
  <c r="A358" i="3"/>
  <c r="B357" i="3"/>
  <c r="E251" i="4" l="1"/>
  <c r="F251" i="4" s="1"/>
  <c r="C252" i="4" s="1"/>
  <c r="B358" i="4"/>
  <c r="A359" i="4"/>
  <c r="D145" i="3"/>
  <c r="E145" i="3"/>
  <c r="F145" i="3" s="1"/>
  <c r="A359" i="3"/>
  <c r="B358" i="3"/>
  <c r="D252" i="4" l="1"/>
  <c r="E252" i="4"/>
  <c r="F252" i="4" s="1"/>
  <c r="C253" i="4" s="1"/>
  <c r="D253" i="4" s="1"/>
  <c r="E253" i="4" s="1"/>
  <c r="F253" i="4" s="1"/>
  <c r="C254" i="4" s="1"/>
  <c r="A360" i="4"/>
  <c r="B359" i="4"/>
  <c r="C146" i="3"/>
  <c r="G145" i="3"/>
  <c r="B359" i="3"/>
  <c r="A360" i="3"/>
  <c r="D254" i="4" l="1"/>
  <c r="E254" i="4"/>
  <c r="F254" i="4" s="1"/>
  <c r="C255" i="4" s="1"/>
  <c r="A361" i="4"/>
  <c r="B360" i="4"/>
  <c r="A361" i="3"/>
  <c r="B360" i="3"/>
  <c r="D146" i="3"/>
  <c r="E146" i="3"/>
  <c r="F146" i="3" s="1"/>
  <c r="D255" i="4" l="1"/>
  <c r="E255" i="4"/>
  <c r="F255" i="4" s="1"/>
  <c r="C256" i="4" s="1"/>
  <c r="A362" i="4"/>
  <c r="B361" i="4"/>
  <c r="C147" i="3"/>
  <c r="G146" i="3"/>
  <c r="B361" i="3"/>
  <c r="A362" i="3"/>
  <c r="D256" i="4" l="1"/>
  <c r="A363" i="4"/>
  <c r="B362" i="4"/>
  <c r="D147" i="3"/>
  <c r="F147" i="3" s="1"/>
  <c r="E147" i="3"/>
  <c r="A363" i="3"/>
  <c r="B362" i="3"/>
  <c r="E256" i="4" l="1"/>
  <c r="F256" i="4" s="1"/>
  <c r="C257" i="4" s="1"/>
  <c r="A364" i="4"/>
  <c r="B363" i="4"/>
  <c r="C148" i="3"/>
  <c r="G147" i="3"/>
  <c r="B363" i="3"/>
  <c r="A364" i="3"/>
  <c r="D257" i="4" l="1"/>
  <c r="A365" i="4"/>
  <c r="B364" i="4"/>
  <c r="A365" i="3"/>
  <c r="B364" i="3"/>
  <c r="D148" i="3"/>
  <c r="E257" i="4" l="1"/>
  <c r="F257" i="4" s="1"/>
  <c r="C258" i="4" s="1"/>
  <c r="A366" i="4"/>
  <c r="B365" i="4"/>
  <c r="E148" i="3"/>
  <c r="F148" i="3" s="1"/>
  <c r="A366" i="3"/>
  <c r="B365" i="3"/>
  <c r="D258" i="4" l="1"/>
  <c r="F258" i="4" s="1"/>
  <c r="C259" i="4" s="1"/>
  <c r="E258" i="4"/>
  <c r="B366" i="4"/>
  <c r="A367" i="4"/>
  <c r="C149" i="3"/>
  <c r="G148" i="3"/>
  <c r="B366" i="3"/>
  <c r="A367" i="3"/>
  <c r="D259" i="4" l="1"/>
  <c r="A368" i="4"/>
  <c r="B367" i="4"/>
  <c r="A368" i="3"/>
  <c r="B367" i="3"/>
  <c r="D149" i="3"/>
  <c r="E149" i="3" s="1"/>
  <c r="E259" i="4" l="1"/>
  <c r="F259" i="4" s="1"/>
  <c r="C260" i="4" s="1"/>
  <c r="A369" i="4"/>
  <c r="B368" i="4"/>
  <c r="B368" i="3"/>
  <c r="A369" i="3"/>
  <c r="F149" i="3"/>
  <c r="D260" i="4" l="1"/>
  <c r="E260" i="4"/>
  <c r="F260" i="4" s="1"/>
  <c r="C261" i="4" s="1"/>
  <c r="A370" i="4"/>
  <c r="B369" i="4"/>
  <c r="C150" i="3"/>
  <c r="G149" i="3"/>
  <c r="A370" i="3"/>
  <c r="B369" i="3"/>
  <c r="D261" i="4" l="1"/>
  <c r="E261" i="4" s="1"/>
  <c r="F261" i="4" s="1"/>
  <c r="C262" i="4" s="1"/>
  <c r="B370" i="4"/>
  <c r="A371" i="4"/>
  <c r="B370" i="3"/>
  <c r="A371" i="3"/>
  <c r="D150" i="3"/>
  <c r="E150" i="3"/>
  <c r="F150" i="3" s="1"/>
  <c r="D262" i="4" l="1"/>
  <c r="A372" i="4"/>
  <c r="B371" i="4"/>
  <c r="C151" i="3"/>
  <c r="G150" i="3"/>
  <c r="A372" i="3"/>
  <c r="B372" i="3" s="1"/>
  <c r="B371" i="3"/>
  <c r="E262" i="4" l="1"/>
  <c r="F262" i="4" s="1"/>
  <c r="C263" i="4" s="1"/>
  <c r="B372" i="4"/>
  <c r="A373" i="4"/>
  <c r="E151" i="3"/>
  <c r="F151" i="3" s="1"/>
  <c r="D151" i="3"/>
  <c r="D263" i="4" l="1"/>
  <c r="E263" i="4"/>
  <c r="F263" i="4" s="1"/>
  <c r="C264" i="4" s="1"/>
  <c r="A374" i="4"/>
  <c r="B373" i="4"/>
  <c r="C152" i="3"/>
  <c r="G151" i="3"/>
  <c r="D264" i="4" l="1"/>
  <c r="C374" i="4"/>
  <c r="B374" i="4"/>
  <c r="E374" i="4"/>
  <c r="F374" i="4"/>
  <c r="D374" i="4"/>
  <c r="A375" i="4"/>
  <c r="D152" i="3"/>
  <c r="E152" i="3" s="1"/>
  <c r="E264" i="4" l="1"/>
  <c r="F264" i="4" s="1"/>
  <c r="C265" i="4" s="1"/>
  <c r="F375" i="4"/>
  <c r="A376" i="4"/>
  <c r="E375" i="4"/>
  <c r="D375" i="4"/>
  <c r="C375" i="4"/>
  <c r="B375" i="4"/>
  <c r="F152" i="3"/>
  <c r="D265" i="4" l="1"/>
  <c r="A377" i="4"/>
  <c r="F376" i="4"/>
  <c r="E376" i="4"/>
  <c r="D376" i="4"/>
  <c r="C376" i="4"/>
  <c r="B376" i="4"/>
  <c r="C153" i="3"/>
  <c r="G152" i="3"/>
  <c r="E265" i="4" l="1"/>
  <c r="F265" i="4" s="1"/>
  <c r="C266" i="4" s="1"/>
  <c r="C377" i="4"/>
  <c r="B377" i="4"/>
  <c r="A378" i="4"/>
  <c r="F377" i="4"/>
  <c r="E377" i="4"/>
  <c r="D377" i="4"/>
  <c r="D153" i="3"/>
  <c r="E153" i="3" s="1"/>
  <c r="D266" i="4" l="1"/>
  <c r="E266" i="4"/>
  <c r="F266" i="4"/>
  <c r="C267" i="4" s="1"/>
  <c r="F378" i="4"/>
  <c r="C378" i="4"/>
  <c r="A379" i="4"/>
  <c r="E378" i="4"/>
  <c r="D378" i="4"/>
  <c r="B378" i="4"/>
  <c r="F153" i="3"/>
  <c r="F267" i="4" l="1"/>
  <c r="C268" i="4" s="1"/>
  <c r="D267" i="4"/>
  <c r="E267" i="4"/>
  <c r="E379" i="4"/>
  <c r="D379" i="4"/>
  <c r="A380" i="4"/>
  <c r="F379" i="4"/>
  <c r="C379" i="4"/>
  <c r="B379" i="4"/>
  <c r="C154" i="3"/>
  <c r="G153" i="3"/>
  <c r="F268" i="4" l="1"/>
  <c r="C269" i="4" s="1"/>
  <c r="D268" i="4"/>
  <c r="E268" i="4"/>
  <c r="A381" i="4"/>
  <c r="F380" i="4"/>
  <c r="E380" i="4"/>
  <c r="D380" i="4"/>
  <c r="C380" i="4"/>
  <c r="B380" i="4"/>
  <c r="D154" i="3"/>
  <c r="D269" i="4" l="1"/>
  <c r="E269" i="4" s="1"/>
  <c r="F381" i="4"/>
  <c r="A382" i="4"/>
  <c r="E381" i="4"/>
  <c r="D381" i="4"/>
  <c r="C381" i="4"/>
  <c r="B381" i="4"/>
  <c r="E154" i="3"/>
  <c r="F154" i="3" s="1"/>
  <c r="F269" i="4" l="1"/>
  <c r="C270" i="4" s="1"/>
  <c r="C382" i="4"/>
  <c r="B382" i="4"/>
  <c r="A383" i="4"/>
  <c r="F382" i="4"/>
  <c r="E382" i="4"/>
  <c r="D382" i="4"/>
  <c r="C155" i="3"/>
  <c r="G154" i="3"/>
  <c r="D270" i="4" l="1"/>
  <c r="A384" i="4"/>
  <c r="F383" i="4"/>
  <c r="E383" i="4"/>
  <c r="B383" i="4"/>
  <c r="D383" i="4"/>
  <c r="C383" i="4"/>
  <c r="E155" i="3"/>
  <c r="F155" i="3" s="1"/>
  <c r="D155" i="3"/>
  <c r="E270" i="4" l="1"/>
  <c r="F270" i="4" s="1"/>
  <c r="C271" i="4" s="1"/>
  <c r="A385" i="4"/>
  <c r="F384" i="4"/>
  <c r="E384" i="4"/>
  <c r="D384" i="4"/>
  <c r="C384" i="4"/>
  <c r="B384" i="4"/>
  <c r="C156" i="3"/>
  <c r="G155" i="3"/>
  <c r="F271" i="4" l="1"/>
  <c r="C272" i="4" s="1"/>
  <c r="D271" i="4"/>
  <c r="E271" i="4"/>
  <c r="A386" i="4"/>
  <c r="F385" i="4"/>
  <c r="E385" i="4"/>
  <c r="B385" i="4"/>
  <c r="D385" i="4"/>
  <c r="C385" i="4"/>
  <c r="D156" i="3"/>
  <c r="F156" i="3" s="1"/>
  <c r="E156" i="3"/>
  <c r="D272" i="4" l="1"/>
  <c r="F272" i="4" s="1"/>
  <c r="C273" i="4" s="1"/>
  <c r="E272" i="4"/>
  <c r="E386" i="4"/>
  <c r="A387" i="4"/>
  <c r="F386" i="4"/>
  <c r="D386" i="4"/>
  <c r="C386" i="4"/>
  <c r="B386" i="4"/>
  <c r="C157" i="3"/>
  <c r="G156" i="3"/>
  <c r="D273" i="4" l="1"/>
  <c r="E387" i="4"/>
  <c r="D387" i="4"/>
  <c r="A388" i="4"/>
  <c r="F387" i="4"/>
  <c r="C387" i="4"/>
  <c r="B387" i="4"/>
  <c r="D157" i="3"/>
  <c r="E157" i="3" s="1"/>
  <c r="F157" i="3" s="1"/>
  <c r="E273" i="4" l="1"/>
  <c r="F273" i="4" s="1"/>
  <c r="C274" i="4" s="1"/>
  <c r="A389" i="4"/>
  <c r="F388" i="4"/>
  <c r="E388" i="4"/>
  <c r="B388" i="4"/>
  <c r="D388" i="4"/>
  <c r="C388" i="4"/>
  <c r="C158" i="3"/>
  <c r="G157" i="3"/>
  <c r="D274" i="4" l="1"/>
  <c r="F389" i="4"/>
  <c r="C389" i="4"/>
  <c r="D389" i="4"/>
  <c r="B389" i="4"/>
  <c r="A390" i="4"/>
  <c r="E389" i="4"/>
  <c r="D158" i="3"/>
  <c r="E158" i="3"/>
  <c r="F158" i="3" s="1"/>
  <c r="E274" i="4" l="1"/>
  <c r="F274" i="4" s="1"/>
  <c r="C275" i="4" s="1"/>
  <c r="E390" i="4"/>
  <c r="D390" i="4"/>
  <c r="A391" i="4"/>
  <c r="C390" i="4"/>
  <c r="F390" i="4"/>
  <c r="B390" i="4"/>
  <c r="C159" i="3"/>
  <c r="G158" i="3"/>
  <c r="D275" i="4" l="1"/>
  <c r="A392" i="4"/>
  <c r="E391" i="4"/>
  <c r="D391" i="4"/>
  <c r="C391" i="4"/>
  <c r="B391" i="4"/>
  <c r="F391" i="4"/>
  <c r="D159" i="3"/>
  <c r="E159" i="3" s="1"/>
  <c r="E275" i="4" l="1"/>
  <c r="F275" i="4" s="1"/>
  <c r="C276" i="4" s="1"/>
  <c r="D392" i="4"/>
  <c r="F392" i="4"/>
  <c r="E392" i="4"/>
  <c r="C392" i="4"/>
  <c r="A393" i="4"/>
  <c r="B392" i="4"/>
  <c r="F159" i="3"/>
  <c r="D276" i="4" l="1"/>
  <c r="F393" i="4"/>
  <c r="E393" i="4"/>
  <c r="A394" i="4"/>
  <c r="D393" i="4"/>
  <c r="C393" i="4"/>
  <c r="B393" i="4"/>
  <c r="C160" i="3"/>
  <c r="G159" i="3"/>
  <c r="E276" i="4" l="1"/>
  <c r="F276" i="4" s="1"/>
  <c r="C277" i="4" s="1"/>
  <c r="E394" i="4"/>
  <c r="D394" i="4"/>
  <c r="C394" i="4"/>
  <c r="B394" i="4"/>
  <c r="F394" i="4"/>
  <c r="A395" i="4"/>
  <c r="D160" i="3"/>
  <c r="E160" i="3" s="1"/>
  <c r="D277" i="4" l="1"/>
  <c r="B395" i="4"/>
  <c r="E395" i="4"/>
  <c r="A396" i="4"/>
  <c r="D395" i="4"/>
  <c r="C395" i="4"/>
  <c r="F395" i="4"/>
  <c r="F160" i="3"/>
  <c r="E277" i="4" l="1"/>
  <c r="F277" i="4" s="1"/>
  <c r="C278" i="4" s="1"/>
  <c r="A397" i="4"/>
  <c r="D396" i="4"/>
  <c r="C396" i="4"/>
  <c r="B396" i="4"/>
  <c r="F396" i="4"/>
  <c r="E396" i="4"/>
  <c r="C161" i="3"/>
  <c r="G160" i="3"/>
  <c r="D278" i="4" l="1"/>
  <c r="E278" i="4"/>
  <c r="F278" i="4"/>
  <c r="C279" i="4" s="1"/>
  <c r="F397" i="4"/>
  <c r="C397" i="4"/>
  <c r="B397" i="4"/>
  <c r="E397" i="4"/>
  <c r="D397" i="4"/>
  <c r="A398" i="4"/>
  <c r="D161" i="3"/>
  <c r="E161" i="3" s="1"/>
  <c r="D279" i="4" l="1"/>
  <c r="A399" i="4"/>
  <c r="F398" i="4"/>
  <c r="E398" i="4"/>
  <c r="D398" i="4"/>
  <c r="C398" i="4"/>
  <c r="B398" i="4"/>
  <c r="F161" i="3"/>
  <c r="E279" i="4" l="1"/>
  <c r="F279" i="4" s="1"/>
  <c r="C280" i="4" s="1"/>
  <c r="A400" i="4"/>
  <c r="F399" i="4"/>
  <c r="E399" i="4"/>
  <c r="C399" i="4"/>
  <c r="B399" i="4"/>
  <c r="D399" i="4"/>
  <c r="C162" i="3"/>
  <c r="G161" i="3"/>
  <c r="D280" i="4" l="1"/>
  <c r="E280" i="4"/>
  <c r="F280" i="4"/>
  <c r="C281" i="4" s="1"/>
  <c r="D400" i="4"/>
  <c r="A401" i="4"/>
  <c r="F400" i="4"/>
  <c r="E400" i="4"/>
  <c r="C400" i="4"/>
  <c r="B400" i="4"/>
  <c r="D162" i="3"/>
  <c r="E162" i="3"/>
  <c r="F162" i="3" s="1"/>
  <c r="D281" i="4" l="1"/>
  <c r="E281" i="4" s="1"/>
  <c r="F281" i="4" s="1"/>
  <c r="C282" i="4" s="1"/>
  <c r="B401" i="4"/>
  <c r="F401" i="4"/>
  <c r="D401" i="4"/>
  <c r="A402" i="4"/>
  <c r="E401" i="4"/>
  <c r="C401" i="4"/>
  <c r="C163" i="3"/>
  <c r="G162" i="3"/>
  <c r="D282" i="4" l="1"/>
  <c r="E402" i="4"/>
  <c r="D402" i="4"/>
  <c r="C402" i="4"/>
  <c r="A403" i="4"/>
  <c r="F402" i="4"/>
  <c r="B402" i="4"/>
  <c r="D163" i="3"/>
  <c r="E163" i="3" s="1"/>
  <c r="F163" i="3" s="1"/>
  <c r="E282" i="4" l="1"/>
  <c r="F282" i="4" s="1"/>
  <c r="C283" i="4" s="1"/>
  <c r="B403" i="4"/>
  <c r="E403" i="4"/>
  <c r="A404" i="4"/>
  <c r="F403" i="4"/>
  <c r="D403" i="4"/>
  <c r="C403" i="4"/>
  <c r="C164" i="3"/>
  <c r="G163" i="3"/>
  <c r="D283" i="4" l="1"/>
  <c r="A405" i="4"/>
  <c r="D404" i="4"/>
  <c r="C404" i="4"/>
  <c r="F404" i="4"/>
  <c r="E404" i="4"/>
  <c r="B404" i="4"/>
  <c r="E164" i="3"/>
  <c r="D164" i="3"/>
  <c r="F164" i="3" s="1"/>
  <c r="E283" i="4" l="1"/>
  <c r="F283" i="4" s="1"/>
  <c r="C284" i="4" s="1"/>
  <c r="F405" i="4"/>
  <c r="C405" i="4"/>
  <c r="B405" i="4"/>
  <c r="E405" i="4"/>
  <c r="D405" i="4"/>
  <c r="A406" i="4"/>
  <c r="C165" i="3"/>
  <c r="G164" i="3"/>
  <c r="D284" i="4" l="1"/>
  <c r="F406" i="4"/>
  <c r="D406" i="4"/>
  <c r="A407" i="4"/>
  <c r="E406" i="4"/>
  <c r="C406" i="4"/>
  <c r="B406" i="4"/>
  <c r="D165" i="3"/>
  <c r="E284" i="4" l="1"/>
  <c r="F284" i="4" s="1"/>
  <c r="C285" i="4" s="1"/>
  <c r="A408" i="4"/>
  <c r="F407" i="4"/>
  <c r="E407" i="4"/>
  <c r="C407" i="4"/>
  <c r="B407" i="4"/>
  <c r="D407" i="4"/>
  <c r="E165" i="3"/>
  <c r="F165" i="3" s="1"/>
  <c r="D285" i="4" l="1"/>
  <c r="D408" i="4"/>
  <c r="C408" i="4"/>
  <c r="B408" i="4"/>
  <c r="A409" i="4"/>
  <c r="F408" i="4"/>
  <c r="E408" i="4"/>
  <c r="C166" i="3"/>
  <c r="G165" i="3"/>
  <c r="E285" i="4" l="1"/>
  <c r="F285" i="4" s="1"/>
  <c r="C286" i="4" s="1"/>
  <c r="B409" i="4"/>
  <c r="A410" i="4"/>
  <c r="F409" i="4"/>
  <c r="E409" i="4"/>
  <c r="D409" i="4"/>
  <c r="C409" i="4"/>
  <c r="D166" i="3"/>
  <c r="E166" i="3" s="1"/>
  <c r="F166" i="3" s="1"/>
  <c r="D286" i="4" l="1"/>
  <c r="E410" i="4"/>
  <c r="D410" i="4"/>
  <c r="C410" i="4"/>
  <c r="B410" i="4"/>
  <c r="A411" i="4"/>
  <c r="F410" i="4"/>
  <c r="C167" i="3"/>
  <c r="G166" i="3"/>
  <c r="E286" i="4" l="1"/>
  <c r="F286" i="4" s="1"/>
  <c r="C287" i="4" s="1"/>
  <c r="B411" i="4"/>
  <c r="F411" i="4"/>
  <c r="E411" i="4"/>
  <c r="A412" i="4"/>
  <c r="D411" i="4"/>
  <c r="C411" i="4"/>
  <c r="D167" i="3"/>
  <c r="D287" i="4" l="1"/>
  <c r="E287" i="4" s="1"/>
  <c r="A413" i="4"/>
  <c r="F412" i="4"/>
  <c r="E412" i="4"/>
  <c r="D412" i="4"/>
  <c r="C412" i="4"/>
  <c r="B412" i="4"/>
  <c r="E167" i="3"/>
  <c r="F167" i="3" s="1"/>
  <c r="F287" i="4" l="1"/>
  <c r="C288" i="4" s="1"/>
  <c r="F413" i="4"/>
  <c r="C413" i="4"/>
  <c r="B413" i="4"/>
  <c r="A414" i="4"/>
  <c r="E413" i="4"/>
  <c r="D413" i="4"/>
  <c r="C168" i="3"/>
  <c r="G167" i="3"/>
  <c r="D288" i="4" l="1"/>
  <c r="E288" i="4"/>
  <c r="F288" i="4" s="1"/>
  <c r="C289" i="4" s="1"/>
  <c r="A415" i="4"/>
  <c r="F414" i="4"/>
  <c r="E414" i="4"/>
  <c r="D414" i="4"/>
  <c r="C414" i="4"/>
  <c r="B414" i="4"/>
  <c r="D168" i="3"/>
  <c r="D289" i="4" l="1"/>
  <c r="A416" i="4"/>
  <c r="F415" i="4"/>
  <c r="E415" i="4"/>
  <c r="B415" i="4"/>
  <c r="D415" i="4"/>
  <c r="C415" i="4"/>
  <c r="E168" i="3"/>
  <c r="F168" i="3" s="1"/>
  <c r="E289" i="4" l="1"/>
  <c r="F289" i="4" s="1"/>
  <c r="C290" i="4" s="1"/>
  <c r="D416" i="4"/>
  <c r="A417" i="4"/>
  <c r="F416" i="4"/>
  <c r="B416" i="4"/>
  <c r="E416" i="4"/>
  <c r="C416" i="4"/>
  <c r="C169" i="3"/>
  <c r="G168" i="3"/>
  <c r="D290" i="4" l="1"/>
  <c r="E290" i="4"/>
  <c r="F290" i="4" s="1"/>
  <c r="C291" i="4" s="1"/>
  <c r="B417" i="4"/>
  <c r="F417" i="4"/>
  <c r="D417" i="4"/>
  <c r="C417" i="4"/>
  <c r="A418" i="4"/>
  <c r="E417" i="4"/>
  <c r="D169" i="3"/>
  <c r="E169" i="3" s="1"/>
  <c r="E291" i="4" l="1"/>
  <c r="F291" i="4" s="1"/>
  <c r="C292" i="4" s="1"/>
  <c r="D291" i="4"/>
  <c r="E418" i="4"/>
  <c r="D418" i="4"/>
  <c r="C418" i="4"/>
  <c r="A419" i="4"/>
  <c r="F418" i="4"/>
  <c r="B418" i="4"/>
  <c r="F169" i="3"/>
  <c r="D292" i="4" l="1"/>
  <c r="E292" i="4" s="1"/>
  <c r="F292" i="4" s="1"/>
  <c r="C293" i="4" s="1"/>
  <c r="B419" i="4"/>
  <c r="A420" i="4"/>
  <c r="F419" i="4"/>
  <c r="E419" i="4"/>
  <c r="D419" i="4"/>
  <c r="C419" i="4"/>
  <c r="C170" i="3"/>
  <c r="G169" i="3"/>
  <c r="D293" i="4" l="1"/>
  <c r="A421" i="4"/>
  <c r="F420" i="4"/>
  <c r="E420" i="4"/>
  <c r="D420" i="4"/>
  <c r="C420" i="4"/>
  <c r="B420" i="4"/>
  <c r="D170" i="3"/>
  <c r="E293" i="4" l="1"/>
  <c r="F293" i="4" s="1"/>
  <c r="C294" i="4" s="1"/>
  <c r="F421" i="4"/>
  <c r="C421" i="4"/>
  <c r="B421" i="4"/>
  <c r="E421" i="4"/>
  <c r="D421" i="4"/>
  <c r="A422" i="4"/>
  <c r="E170" i="3"/>
  <c r="F170" i="3" s="1"/>
  <c r="D294" i="4" l="1"/>
  <c r="E294" i="4" s="1"/>
  <c r="F294" i="4" s="1"/>
  <c r="C295" i="4" s="1"/>
  <c r="D422" i="4"/>
  <c r="C422" i="4"/>
  <c r="F422" i="4"/>
  <c r="A423" i="4"/>
  <c r="E422" i="4"/>
  <c r="B422" i="4"/>
  <c r="C171" i="3"/>
  <c r="G170" i="3"/>
  <c r="D295" i="4" l="1"/>
  <c r="E295" i="4" s="1"/>
  <c r="A424" i="4"/>
  <c r="F423" i="4"/>
  <c r="E423" i="4"/>
  <c r="B423" i="4"/>
  <c r="D423" i="4"/>
  <c r="C423" i="4"/>
  <c r="E171" i="3"/>
  <c r="F171" i="3" s="1"/>
  <c r="D171" i="3"/>
  <c r="F295" i="4" l="1"/>
  <c r="C296" i="4" s="1"/>
  <c r="D424" i="4"/>
  <c r="A425" i="4"/>
  <c r="F424" i="4"/>
  <c r="B424" i="4"/>
  <c r="E424" i="4"/>
  <c r="C424" i="4"/>
  <c r="C172" i="3"/>
  <c r="G171" i="3"/>
  <c r="D296" i="4" l="1"/>
  <c r="F425" i="4"/>
  <c r="E425" i="4"/>
  <c r="B425" i="4"/>
  <c r="A426" i="4"/>
  <c r="D425" i="4"/>
  <c r="C425" i="4"/>
  <c r="D172" i="3"/>
  <c r="E296" i="4" l="1"/>
  <c r="F296" i="4" s="1"/>
  <c r="C297" i="4" s="1"/>
  <c r="E426" i="4"/>
  <c r="D426" i="4"/>
  <c r="C426" i="4"/>
  <c r="A427" i="4"/>
  <c r="F426" i="4"/>
  <c r="B426" i="4"/>
  <c r="E172" i="3"/>
  <c r="F172" i="3" s="1"/>
  <c r="E297" i="4" l="1"/>
  <c r="F297" i="4" s="1"/>
  <c r="C298" i="4" s="1"/>
  <c r="D297" i="4"/>
  <c r="B427" i="4"/>
  <c r="A428" i="4"/>
  <c r="F427" i="4"/>
  <c r="E427" i="4"/>
  <c r="D427" i="4"/>
  <c r="C427" i="4"/>
  <c r="C173" i="3"/>
  <c r="G172" i="3"/>
  <c r="D298" i="4" l="1"/>
  <c r="A429" i="4"/>
  <c r="F428" i="4"/>
  <c r="E428" i="4"/>
  <c r="D428" i="4"/>
  <c r="C428" i="4"/>
  <c r="B428" i="4"/>
  <c r="D173" i="3"/>
  <c r="F173" i="3" s="1"/>
  <c r="E173" i="3"/>
  <c r="E298" i="4" l="1"/>
  <c r="F298" i="4" s="1"/>
  <c r="C299" i="4" s="1"/>
  <c r="F429" i="4"/>
  <c r="C429" i="4"/>
  <c r="B429" i="4"/>
  <c r="E429" i="4"/>
  <c r="D429" i="4"/>
  <c r="A430" i="4"/>
  <c r="C174" i="3"/>
  <c r="G173" i="3"/>
  <c r="D299" i="4" l="1"/>
  <c r="E299" i="4" s="1"/>
  <c r="F299" i="4" s="1"/>
  <c r="C300" i="4" s="1"/>
  <c r="A431" i="4"/>
  <c r="F430" i="4"/>
  <c r="E430" i="4"/>
  <c r="B430" i="4"/>
  <c r="D430" i="4"/>
  <c r="C430" i="4"/>
  <c r="D174" i="3"/>
  <c r="F174" i="3" s="1"/>
  <c r="E174" i="3"/>
  <c r="D300" i="4" l="1"/>
  <c r="E300" i="4" s="1"/>
  <c r="F300" i="4" s="1"/>
  <c r="C301" i="4" s="1"/>
  <c r="A432" i="4"/>
  <c r="F431" i="4"/>
  <c r="E431" i="4"/>
  <c r="D431" i="4"/>
  <c r="C431" i="4"/>
  <c r="B431" i="4"/>
  <c r="C175" i="3"/>
  <c r="G174" i="3"/>
  <c r="D301" i="4" l="1"/>
  <c r="E301" i="4" s="1"/>
  <c r="D432" i="4"/>
  <c r="A433" i="4"/>
  <c r="F432" i="4"/>
  <c r="E432" i="4"/>
  <c r="B432" i="4"/>
  <c r="C432" i="4"/>
  <c r="E175" i="3"/>
  <c r="D175" i="3"/>
  <c r="F175" i="3" s="1"/>
  <c r="F301" i="4" l="1"/>
  <c r="C302" i="4" s="1"/>
  <c r="B433" i="4"/>
  <c r="D433" i="4"/>
  <c r="C433" i="4"/>
  <c r="A434" i="4"/>
  <c r="F433" i="4"/>
  <c r="E433" i="4"/>
  <c r="C176" i="3"/>
  <c r="G175" i="3"/>
  <c r="D302" i="4" l="1"/>
  <c r="F302" i="4" s="1"/>
  <c r="C303" i="4" s="1"/>
  <c r="E302" i="4"/>
  <c r="E434" i="4"/>
  <c r="D434" i="4"/>
  <c r="C434" i="4"/>
  <c r="A435" i="4"/>
  <c r="B434" i="4"/>
  <c r="F434" i="4"/>
  <c r="D176" i="3"/>
  <c r="D303" i="4" l="1"/>
  <c r="E303" i="4"/>
  <c r="F303" i="4" s="1"/>
  <c r="C304" i="4" s="1"/>
  <c r="B435" i="4"/>
  <c r="A436" i="4"/>
  <c r="F435" i="4"/>
  <c r="E435" i="4"/>
  <c r="D435" i="4"/>
  <c r="C435" i="4"/>
  <c r="E176" i="3"/>
  <c r="F176" i="3" s="1"/>
  <c r="D304" i="4" l="1"/>
  <c r="A437" i="4"/>
  <c r="E436" i="4"/>
  <c r="D436" i="4"/>
  <c r="C436" i="4"/>
  <c r="F436" i="4"/>
  <c r="B436" i="4"/>
  <c r="C177" i="3"/>
  <c r="G176" i="3"/>
  <c r="F304" i="4" l="1"/>
  <c r="C305" i="4" s="1"/>
  <c r="E304" i="4"/>
  <c r="F437" i="4"/>
  <c r="C437" i="4"/>
  <c r="B437" i="4"/>
  <c r="A438" i="4"/>
  <c r="E437" i="4"/>
  <c r="D437" i="4"/>
  <c r="D177" i="3"/>
  <c r="D305" i="4" l="1"/>
  <c r="E305" i="4" s="1"/>
  <c r="F438" i="4"/>
  <c r="E438" i="4"/>
  <c r="D438" i="4"/>
  <c r="C438" i="4"/>
  <c r="B438" i="4"/>
  <c r="A439" i="4"/>
  <c r="E177" i="3"/>
  <c r="F177" i="3" s="1"/>
  <c r="F305" i="4" l="1"/>
  <c r="C306" i="4" s="1"/>
  <c r="A440" i="4"/>
  <c r="F439" i="4"/>
  <c r="E439" i="4"/>
  <c r="C439" i="4"/>
  <c r="D439" i="4"/>
  <c r="B439" i="4"/>
  <c r="C178" i="3"/>
  <c r="G177" i="3"/>
  <c r="D306" i="4" l="1"/>
  <c r="E306" i="4" s="1"/>
  <c r="F306" i="4" s="1"/>
  <c r="C307" i="4" s="1"/>
  <c r="D440" i="4"/>
  <c r="F440" i="4"/>
  <c r="E440" i="4"/>
  <c r="C440" i="4"/>
  <c r="A441" i="4"/>
  <c r="B440" i="4"/>
  <c r="D178" i="3"/>
  <c r="D307" i="4" l="1"/>
  <c r="E307" i="4" s="1"/>
  <c r="F307" i="4" s="1"/>
  <c r="C308" i="4" s="1"/>
  <c r="A442" i="4"/>
  <c r="F441" i="4"/>
  <c r="E441" i="4"/>
  <c r="D441" i="4"/>
  <c r="B441" i="4"/>
  <c r="C441" i="4"/>
  <c r="E178" i="3"/>
  <c r="F178" i="3" s="1"/>
  <c r="D308" i="4" l="1"/>
  <c r="E442" i="4"/>
  <c r="D442" i="4"/>
  <c r="C442" i="4"/>
  <c r="B442" i="4"/>
  <c r="F442" i="4"/>
  <c r="A443" i="4"/>
  <c r="C179" i="3"/>
  <c r="G178" i="3"/>
  <c r="F308" i="4" l="1"/>
  <c r="C309" i="4" s="1"/>
  <c r="E308" i="4"/>
  <c r="B443" i="4"/>
  <c r="A444" i="4"/>
  <c r="F443" i="4"/>
  <c r="E443" i="4"/>
  <c r="D443" i="4"/>
  <c r="C443" i="4"/>
  <c r="D179" i="3"/>
  <c r="D309" i="4" l="1"/>
  <c r="E309" i="4" s="1"/>
  <c r="F309" i="4" s="1"/>
  <c r="C310" i="4" s="1"/>
  <c r="A445" i="4"/>
  <c r="E444" i="4"/>
  <c r="C444" i="4"/>
  <c r="B444" i="4"/>
  <c r="F444" i="4"/>
  <c r="D444" i="4"/>
  <c r="F179" i="3"/>
  <c r="E179" i="3"/>
  <c r="D310" i="4" l="1"/>
  <c r="E310" i="4"/>
  <c r="F310" i="4" s="1"/>
  <c r="C311" i="4" s="1"/>
  <c r="F445" i="4"/>
  <c r="C445" i="4"/>
  <c r="B445" i="4"/>
  <c r="A446" i="4"/>
  <c r="E445" i="4"/>
  <c r="D445" i="4"/>
  <c r="C180" i="3"/>
  <c r="G179" i="3"/>
  <c r="D311" i="4" l="1"/>
  <c r="E311" i="4"/>
  <c r="F311" i="4"/>
  <c r="C312" i="4" s="1"/>
  <c r="F446" i="4"/>
  <c r="E446" i="4"/>
  <c r="D446" i="4"/>
  <c r="C446" i="4"/>
  <c r="A447" i="4"/>
  <c r="B446" i="4"/>
  <c r="D180" i="3"/>
  <c r="D312" i="4" l="1"/>
  <c r="E312" i="4" s="1"/>
  <c r="F312" i="4" s="1"/>
  <c r="C313" i="4" s="1"/>
  <c r="A448" i="4"/>
  <c r="F447" i="4"/>
  <c r="E447" i="4"/>
  <c r="C447" i="4"/>
  <c r="B447" i="4"/>
  <c r="D447" i="4"/>
  <c r="E180" i="3"/>
  <c r="F180" i="3" s="1"/>
  <c r="D313" i="4" l="1"/>
  <c r="E313" i="4" s="1"/>
  <c r="F313" i="4" s="1"/>
  <c r="C314" i="4" s="1"/>
  <c r="D448" i="4"/>
  <c r="E448" i="4"/>
  <c r="C448" i="4"/>
  <c r="B448" i="4"/>
  <c r="A449" i="4"/>
  <c r="F448" i="4"/>
  <c r="C181" i="3"/>
  <c r="G180" i="3"/>
  <c r="D314" i="4" l="1"/>
  <c r="A450" i="4"/>
  <c r="F449" i="4"/>
  <c r="C449" i="4"/>
  <c r="D449" i="4"/>
  <c r="B449" i="4"/>
  <c r="E449" i="4"/>
  <c r="D181" i="3"/>
  <c r="E181" i="3" s="1"/>
  <c r="F181" i="3" s="1"/>
  <c r="E314" i="4" l="1"/>
  <c r="F314" i="4" s="1"/>
  <c r="C315" i="4" s="1"/>
  <c r="E450" i="4"/>
  <c r="D450" i="4"/>
  <c r="C450" i="4"/>
  <c r="A451" i="4"/>
  <c r="B450" i="4"/>
  <c r="F450" i="4"/>
  <c r="C182" i="3"/>
  <c r="G181" i="3"/>
  <c r="E315" i="4" l="1"/>
  <c r="F315" i="4" s="1"/>
  <c r="C316" i="4" s="1"/>
  <c r="D315" i="4"/>
  <c r="B451" i="4"/>
  <c r="A452" i="4"/>
  <c r="F451" i="4"/>
  <c r="E451" i="4"/>
  <c r="D451" i="4"/>
  <c r="C451" i="4"/>
  <c r="D182" i="3"/>
  <c r="F182" i="3" s="1"/>
  <c r="E182" i="3"/>
  <c r="D316" i="4" l="1"/>
  <c r="A453" i="4"/>
  <c r="E452" i="4"/>
  <c r="B452" i="4"/>
  <c r="F452" i="4"/>
  <c r="D452" i="4"/>
  <c r="C452" i="4"/>
  <c r="C183" i="3"/>
  <c r="G182" i="3"/>
  <c r="F316" i="4" l="1"/>
  <c r="C317" i="4" s="1"/>
  <c r="E316" i="4"/>
  <c r="F453" i="4"/>
  <c r="C453" i="4"/>
  <c r="B453" i="4"/>
  <c r="A454" i="4"/>
  <c r="E453" i="4"/>
  <c r="D453" i="4"/>
  <c r="D183" i="3"/>
  <c r="D317" i="4" l="1"/>
  <c r="A455" i="4"/>
  <c r="F454" i="4"/>
  <c r="E454" i="4"/>
  <c r="B454" i="4"/>
  <c r="D454" i="4"/>
  <c r="C454" i="4"/>
  <c r="F183" i="3"/>
  <c r="E183" i="3"/>
  <c r="E317" i="4" l="1"/>
  <c r="F317" i="4" s="1"/>
  <c r="C318" i="4" s="1"/>
  <c r="A456" i="4"/>
  <c r="F455" i="4"/>
  <c r="E455" i="4"/>
  <c r="C455" i="4"/>
  <c r="D455" i="4"/>
  <c r="B455" i="4"/>
  <c r="C184" i="3"/>
  <c r="G183" i="3"/>
  <c r="D318" i="4" l="1"/>
  <c r="E318" i="4" s="1"/>
  <c r="D456" i="4"/>
  <c r="C456" i="4"/>
  <c r="B456" i="4"/>
  <c r="A457" i="4"/>
  <c r="F456" i="4"/>
  <c r="E456" i="4"/>
  <c r="D184" i="3"/>
  <c r="E184" i="3" s="1"/>
  <c r="F184" i="3" s="1"/>
  <c r="F318" i="4" l="1"/>
  <c r="C319" i="4" s="1"/>
  <c r="A458" i="4"/>
  <c r="F457" i="4"/>
  <c r="E457" i="4"/>
  <c r="C457" i="4"/>
  <c r="D457" i="4"/>
  <c r="B457" i="4"/>
  <c r="C185" i="3"/>
  <c r="G184" i="3"/>
  <c r="D319" i="4" l="1"/>
  <c r="E319" i="4" s="1"/>
  <c r="F319" i="4" s="1"/>
  <c r="C320" i="4" s="1"/>
  <c r="E458" i="4"/>
  <c r="D458" i="4"/>
  <c r="C458" i="4"/>
  <c r="A459" i="4"/>
  <c r="F458" i="4"/>
  <c r="B458" i="4"/>
  <c r="D185" i="3"/>
  <c r="E185" i="3"/>
  <c r="F185" i="3" s="1"/>
  <c r="D320" i="4" l="1"/>
  <c r="B459" i="4"/>
  <c r="A460" i="4"/>
  <c r="F459" i="4"/>
  <c r="E459" i="4"/>
  <c r="D459" i="4"/>
  <c r="C459" i="4"/>
  <c r="C186" i="3"/>
  <c r="G185" i="3"/>
  <c r="E320" i="4" l="1"/>
  <c r="F320" i="4" s="1"/>
  <c r="C321" i="4" s="1"/>
  <c r="A461" i="4"/>
  <c r="E460" i="4"/>
  <c r="F460" i="4"/>
  <c r="D460" i="4"/>
  <c r="C460" i="4"/>
  <c r="B460" i="4"/>
  <c r="D186" i="3"/>
  <c r="D321" i="4" l="1"/>
  <c r="E321" i="4" s="1"/>
  <c r="F321" i="4" s="1"/>
  <c r="C322" i="4" s="1"/>
  <c r="F461" i="4"/>
  <c r="C461" i="4"/>
  <c r="B461" i="4"/>
  <c r="A462" i="4"/>
  <c r="E461" i="4"/>
  <c r="D461" i="4"/>
  <c r="E186" i="3"/>
  <c r="F186" i="3" s="1"/>
  <c r="D322" i="4" l="1"/>
  <c r="B462" i="4"/>
  <c r="A463" i="4"/>
  <c r="F462" i="4"/>
  <c r="E462" i="4"/>
  <c r="D462" i="4"/>
  <c r="C462" i="4"/>
  <c r="C187" i="3"/>
  <c r="G186" i="3"/>
  <c r="E322" i="4" l="1"/>
  <c r="F322" i="4" s="1"/>
  <c r="C323" i="4" s="1"/>
  <c r="A464" i="4"/>
  <c r="F463" i="4"/>
  <c r="E463" i="4"/>
  <c r="C463" i="4"/>
  <c r="D463" i="4"/>
  <c r="B463" i="4"/>
  <c r="D187" i="3"/>
  <c r="E187" i="3" s="1"/>
  <c r="D323" i="4" l="1"/>
  <c r="E323" i="4" s="1"/>
  <c r="F323" i="4" s="1"/>
  <c r="C324" i="4" s="1"/>
  <c r="D464" i="4"/>
  <c r="B464" i="4"/>
  <c r="A465" i="4"/>
  <c r="E464" i="4"/>
  <c r="C464" i="4"/>
  <c r="F464" i="4"/>
  <c r="F187" i="3"/>
  <c r="D324" i="4" l="1"/>
  <c r="A466" i="4"/>
  <c r="E465" i="4"/>
  <c r="F465" i="4"/>
  <c r="D465" i="4"/>
  <c r="C465" i="4"/>
  <c r="B465" i="4"/>
  <c r="C188" i="3"/>
  <c r="G187" i="3"/>
  <c r="E324" i="4" l="1"/>
  <c r="F324" i="4" s="1"/>
  <c r="C325" i="4" s="1"/>
  <c r="E466" i="4"/>
  <c r="D466" i="4"/>
  <c r="C466" i="4"/>
  <c r="A467" i="4"/>
  <c r="F466" i="4"/>
  <c r="B466" i="4"/>
  <c r="D188" i="3"/>
  <c r="D325" i="4" l="1"/>
  <c r="E325" i="4" s="1"/>
  <c r="F325" i="4" s="1"/>
  <c r="C326" i="4" s="1"/>
  <c r="B467" i="4"/>
  <c r="F467" i="4"/>
  <c r="E467" i="4"/>
  <c r="D467" i="4"/>
  <c r="C467" i="4"/>
  <c r="A468" i="4"/>
  <c r="E188" i="3"/>
  <c r="F188" i="3" s="1"/>
  <c r="D326" i="4" l="1"/>
  <c r="E326" i="4" s="1"/>
  <c r="F326" i="4" s="1"/>
  <c r="C327" i="4" s="1"/>
  <c r="A469" i="4"/>
  <c r="E468" i="4"/>
  <c r="B468" i="4"/>
  <c r="F468" i="4"/>
  <c r="D468" i="4"/>
  <c r="C468" i="4"/>
  <c r="C189" i="3"/>
  <c r="G188" i="3"/>
  <c r="D327" i="4" l="1"/>
  <c r="F327" i="4" s="1"/>
  <c r="C328" i="4" s="1"/>
  <c r="E327" i="4"/>
  <c r="F469" i="4"/>
  <c r="C469" i="4"/>
  <c r="B469" i="4"/>
  <c r="A470" i="4"/>
  <c r="E469" i="4"/>
  <c r="D469" i="4"/>
  <c r="D189" i="3"/>
  <c r="F189" i="3" s="1"/>
  <c r="E189" i="3"/>
  <c r="D328" i="4" l="1"/>
  <c r="A471" i="4"/>
  <c r="D470" i="4"/>
  <c r="F470" i="4"/>
  <c r="E470" i="4"/>
  <c r="C470" i="4"/>
  <c r="B470" i="4"/>
  <c r="C190" i="3"/>
  <c r="G189" i="3"/>
  <c r="E328" i="4" l="1"/>
  <c r="F328" i="4" s="1"/>
  <c r="C329" i="4" s="1"/>
  <c r="A472" i="4"/>
  <c r="F471" i="4"/>
  <c r="E471" i="4"/>
  <c r="C471" i="4"/>
  <c r="D471" i="4"/>
  <c r="B471" i="4"/>
  <c r="D190" i="3"/>
  <c r="E190" i="3" s="1"/>
  <c r="F190" i="3" s="1"/>
  <c r="D329" i="4" l="1"/>
  <c r="F329" i="4" s="1"/>
  <c r="C330" i="4" s="1"/>
  <c r="E329" i="4"/>
  <c r="D472" i="4"/>
  <c r="F472" i="4"/>
  <c r="E472" i="4"/>
  <c r="C472" i="4"/>
  <c r="B472" i="4"/>
  <c r="A473" i="4"/>
  <c r="C191" i="3"/>
  <c r="G190" i="3"/>
  <c r="D330" i="4" l="1"/>
  <c r="E330" i="4" s="1"/>
  <c r="F330" i="4" s="1"/>
  <c r="C331" i="4" s="1"/>
  <c r="A474" i="4"/>
  <c r="D473" i="4"/>
  <c r="F473" i="4"/>
  <c r="E473" i="4"/>
  <c r="C473" i="4"/>
  <c r="B473" i="4"/>
  <c r="D191" i="3"/>
  <c r="D331" i="4" l="1"/>
  <c r="E331" i="4"/>
  <c r="F331" i="4"/>
  <c r="C332" i="4" s="1"/>
  <c r="E474" i="4"/>
  <c r="D474" i="4"/>
  <c r="C474" i="4"/>
  <c r="B474" i="4"/>
  <c r="A475" i="4"/>
  <c r="F474" i="4"/>
  <c r="E191" i="3"/>
  <c r="F191" i="3" s="1"/>
  <c r="E332" i="4" l="1"/>
  <c r="F332" i="4" s="1"/>
  <c r="C333" i="4" s="1"/>
  <c r="D332" i="4"/>
  <c r="B475" i="4"/>
  <c r="E475" i="4"/>
  <c r="D475" i="4"/>
  <c r="C475" i="4"/>
  <c r="A476" i="4"/>
  <c r="F475" i="4"/>
  <c r="C192" i="3"/>
  <c r="G191" i="3"/>
  <c r="D333" i="4" l="1"/>
  <c r="E333" i="4" s="1"/>
  <c r="F333" i="4" s="1"/>
  <c r="C334" i="4" s="1"/>
  <c r="A477" i="4"/>
  <c r="E476" i="4"/>
  <c r="D476" i="4"/>
  <c r="F476" i="4"/>
  <c r="C476" i="4"/>
  <c r="B476" i="4"/>
  <c r="E192" i="3"/>
  <c r="F192" i="3" s="1"/>
  <c r="D192" i="3"/>
  <c r="D334" i="4" l="1"/>
  <c r="F334" i="4" s="1"/>
  <c r="C335" i="4" s="1"/>
  <c r="E334" i="4"/>
  <c r="F477" i="4"/>
  <c r="C477" i="4"/>
  <c r="B477" i="4"/>
  <c r="A478" i="4"/>
  <c r="E477" i="4"/>
  <c r="D477" i="4"/>
  <c r="C193" i="3"/>
  <c r="G192" i="3"/>
  <c r="D335" i="4" l="1"/>
  <c r="A479" i="4"/>
  <c r="D478" i="4"/>
  <c r="C478" i="4"/>
  <c r="B478" i="4"/>
  <c r="E478" i="4"/>
  <c r="F478" i="4"/>
  <c r="D193" i="3"/>
  <c r="E335" i="4" l="1"/>
  <c r="F335" i="4" s="1"/>
  <c r="C336" i="4" s="1"/>
  <c r="A480" i="4"/>
  <c r="F479" i="4"/>
  <c r="E479" i="4"/>
  <c r="C479" i="4"/>
  <c r="B479" i="4"/>
  <c r="D479" i="4"/>
  <c r="E193" i="3"/>
  <c r="F193" i="3" s="1"/>
  <c r="D336" i="4" l="1"/>
  <c r="D480" i="4"/>
  <c r="B480" i="4"/>
  <c r="C480" i="4"/>
  <c r="A481" i="4"/>
  <c r="F480" i="4"/>
  <c r="E480" i="4"/>
  <c r="C194" i="3"/>
  <c r="G193" i="3"/>
  <c r="E336" i="4" l="1"/>
  <c r="F336" i="4" s="1"/>
  <c r="C337" i="4" s="1"/>
  <c r="A482" i="4"/>
  <c r="F481" i="4"/>
  <c r="E481" i="4"/>
  <c r="D481" i="4"/>
  <c r="C481" i="4"/>
  <c r="B481" i="4"/>
  <c r="D194" i="3"/>
  <c r="E194" i="3" s="1"/>
  <c r="D337" i="4" l="1"/>
  <c r="E337" i="4" s="1"/>
  <c r="F337" i="4" s="1"/>
  <c r="C338" i="4" s="1"/>
  <c r="E482" i="4"/>
  <c r="D482" i="4"/>
  <c r="C482" i="4"/>
  <c r="A483" i="4"/>
  <c r="F482" i="4"/>
  <c r="B482" i="4"/>
  <c r="F194" i="3"/>
  <c r="D338" i="4" l="1"/>
  <c r="B483" i="4"/>
  <c r="A484" i="4"/>
  <c r="F483" i="4"/>
  <c r="E483" i="4"/>
  <c r="D483" i="4"/>
  <c r="C483" i="4"/>
  <c r="C195" i="3"/>
  <c r="G194" i="3"/>
  <c r="E338" i="4" l="1"/>
  <c r="F338" i="4" s="1"/>
  <c r="C339" i="4" s="1"/>
  <c r="A485" i="4"/>
  <c r="E484" i="4"/>
  <c r="D484" i="4"/>
  <c r="F484" i="4"/>
  <c r="C484" i="4"/>
  <c r="B484" i="4"/>
  <c r="D195" i="3"/>
  <c r="E195" i="3" s="1"/>
  <c r="D339" i="4" l="1"/>
  <c r="E339" i="4" s="1"/>
  <c r="F339" i="4" s="1"/>
  <c r="C340" i="4" s="1"/>
  <c r="F485" i="4"/>
  <c r="C485" i="4"/>
  <c r="B485" i="4"/>
  <c r="A486" i="4"/>
  <c r="E485" i="4"/>
  <c r="D485" i="4"/>
  <c r="F195" i="3"/>
  <c r="D340" i="4" l="1"/>
  <c r="F486" i="4"/>
  <c r="C486" i="4"/>
  <c r="D486" i="4"/>
  <c r="B486" i="4"/>
  <c r="A487" i="4"/>
  <c r="E486" i="4"/>
  <c r="C196" i="3"/>
  <c r="G195" i="3"/>
  <c r="E340" i="4" l="1"/>
  <c r="F340" i="4" s="1"/>
  <c r="C341" i="4" s="1"/>
  <c r="A488" i="4"/>
  <c r="F487" i="4"/>
  <c r="E487" i="4"/>
  <c r="C487" i="4"/>
  <c r="B487" i="4"/>
  <c r="D487" i="4"/>
  <c r="D196" i="3"/>
  <c r="D341" i="4" l="1"/>
  <c r="E341" i="4"/>
  <c r="F341" i="4" s="1"/>
  <c r="C342" i="4" s="1"/>
  <c r="D488" i="4"/>
  <c r="E488" i="4"/>
  <c r="C488" i="4"/>
  <c r="B488" i="4"/>
  <c r="A489" i="4"/>
  <c r="F488" i="4"/>
  <c r="E196" i="3"/>
  <c r="F196" i="3" s="1"/>
  <c r="D342" i="4" l="1"/>
  <c r="A490" i="4"/>
  <c r="F489" i="4"/>
  <c r="E489" i="4"/>
  <c r="D489" i="4"/>
  <c r="C489" i="4"/>
  <c r="B489" i="4"/>
  <c r="C197" i="3"/>
  <c r="G196" i="3"/>
  <c r="E342" i="4" l="1"/>
  <c r="F342" i="4" s="1"/>
  <c r="C343" i="4" s="1"/>
  <c r="E490" i="4"/>
  <c r="D490" i="4"/>
  <c r="C490" i="4"/>
  <c r="F490" i="4"/>
  <c r="A491" i="4"/>
  <c r="B490" i="4"/>
  <c r="D197" i="3"/>
  <c r="D343" i="4" l="1"/>
  <c r="E343" i="4" s="1"/>
  <c r="F343" i="4" s="1"/>
  <c r="C344" i="4" s="1"/>
  <c r="B491" i="4"/>
  <c r="A492" i="4"/>
  <c r="D491" i="4"/>
  <c r="F491" i="4"/>
  <c r="C491" i="4"/>
  <c r="E491" i="4"/>
  <c r="E197" i="3"/>
  <c r="F197" i="3" s="1"/>
  <c r="D344" i="4" l="1"/>
  <c r="A493" i="4"/>
  <c r="E492" i="4"/>
  <c r="D492" i="4"/>
  <c r="C492" i="4"/>
  <c r="B492" i="4"/>
  <c r="F492" i="4"/>
  <c r="C198" i="3"/>
  <c r="G197" i="3"/>
  <c r="E344" i="4" l="1"/>
  <c r="F344" i="4" s="1"/>
  <c r="C345" i="4" s="1"/>
  <c r="F493" i="4"/>
  <c r="C493" i="4"/>
  <c r="B493" i="4"/>
  <c r="A494" i="4"/>
  <c r="E493" i="4"/>
  <c r="D493" i="4"/>
  <c r="D198" i="3"/>
  <c r="D345" i="4" l="1"/>
  <c r="E345" i="4" s="1"/>
  <c r="F345" i="4" s="1"/>
  <c r="C346" i="4" s="1"/>
  <c r="A495" i="4"/>
  <c r="E494" i="4"/>
  <c r="F494" i="4"/>
  <c r="D494" i="4"/>
  <c r="C494" i="4"/>
  <c r="B494" i="4"/>
  <c r="E198" i="3"/>
  <c r="F198" i="3" s="1"/>
  <c r="D346" i="4" l="1"/>
  <c r="A496" i="4"/>
  <c r="F495" i="4"/>
  <c r="E495" i="4"/>
  <c r="C495" i="4"/>
  <c r="B495" i="4"/>
  <c r="D495" i="4"/>
  <c r="C199" i="3"/>
  <c r="G198" i="3"/>
  <c r="E346" i="4" l="1"/>
  <c r="F346" i="4" s="1"/>
  <c r="C347" i="4" s="1"/>
  <c r="D496" i="4"/>
  <c r="A497" i="4"/>
  <c r="F496" i="4"/>
  <c r="E496" i="4"/>
  <c r="C496" i="4"/>
  <c r="B496" i="4"/>
  <c r="D199" i="3"/>
  <c r="D347" i="4" l="1"/>
  <c r="E347" i="4" s="1"/>
  <c r="F347" i="4" s="1"/>
  <c r="C348" i="4" s="1"/>
  <c r="A498" i="4"/>
  <c r="F497" i="4"/>
  <c r="D497" i="4"/>
  <c r="C497" i="4"/>
  <c r="B497" i="4"/>
  <c r="E497" i="4"/>
  <c r="F199" i="3"/>
  <c r="E199" i="3"/>
  <c r="D348" i="4" l="1"/>
  <c r="E348" i="4" s="1"/>
  <c r="F348" i="4" s="1"/>
  <c r="C349" i="4" s="1"/>
  <c r="E498" i="4"/>
  <c r="D498" i="4"/>
  <c r="C498" i="4"/>
  <c r="A499" i="4"/>
  <c r="F498" i="4"/>
  <c r="B498" i="4"/>
  <c r="C200" i="3"/>
  <c r="G199" i="3"/>
  <c r="D349" i="4" l="1"/>
  <c r="B499" i="4"/>
  <c r="F499" i="4"/>
  <c r="E499" i="4"/>
  <c r="C499" i="4"/>
  <c r="D499" i="4"/>
  <c r="A500" i="4"/>
  <c r="D200" i="3"/>
  <c r="E349" i="4" l="1"/>
  <c r="F349" i="4" s="1"/>
  <c r="C350" i="4" s="1"/>
  <c r="A501" i="4"/>
  <c r="E500" i="4"/>
  <c r="D500" i="4"/>
  <c r="F500" i="4"/>
  <c r="C500" i="4"/>
  <c r="B500" i="4"/>
  <c r="E200" i="3"/>
  <c r="F200" i="3" s="1"/>
  <c r="D350" i="4" l="1"/>
  <c r="E350" i="4" s="1"/>
  <c r="F501" i="4"/>
  <c r="C501" i="4"/>
  <c r="B501" i="4"/>
  <c r="D501" i="4"/>
  <c r="A502" i="4"/>
  <c r="E501" i="4"/>
  <c r="C201" i="3"/>
  <c r="G200" i="3"/>
  <c r="F350" i="4" l="1"/>
  <c r="C351" i="4" s="1"/>
  <c r="A503" i="4"/>
  <c r="F502" i="4"/>
  <c r="E502" i="4"/>
  <c r="D502" i="4"/>
  <c r="C502" i="4"/>
  <c r="B502" i="4"/>
  <c r="D201" i="3"/>
  <c r="E201" i="3" s="1"/>
  <c r="D351" i="4" l="1"/>
  <c r="A504" i="4"/>
  <c r="F503" i="4"/>
  <c r="E503" i="4"/>
  <c r="C503" i="4"/>
  <c r="B503" i="4"/>
  <c r="D503" i="4"/>
  <c r="F201" i="3"/>
  <c r="E351" i="4" l="1"/>
  <c r="F351" i="4" s="1"/>
  <c r="C352" i="4" s="1"/>
  <c r="D504" i="4"/>
  <c r="A505" i="4"/>
  <c r="C504" i="4"/>
  <c r="B504" i="4"/>
  <c r="E504" i="4"/>
  <c r="F504" i="4"/>
  <c r="C202" i="3"/>
  <c r="G201" i="3"/>
  <c r="D352" i="4" l="1"/>
  <c r="E352" i="4" s="1"/>
  <c r="A506" i="4"/>
  <c r="F505" i="4"/>
  <c r="C505" i="4"/>
  <c r="B505" i="4"/>
  <c r="E505" i="4"/>
  <c r="D505" i="4"/>
  <c r="D202" i="3"/>
  <c r="F352" i="4" l="1"/>
  <c r="C353" i="4" s="1"/>
  <c r="F506" i="4"/>
  <c r="E506" i="4"/>
  <c r="D506" i="4"/>
  <c r="C506" i="4"/>
  <c r="A507" i="4"/>
  <c r="B506" i="4"/>
  <c r="E202" i="3"/>
  <c r="F202" i="3" s="1"/>
  <c r="D353" i="4" l="1"/>
  <c r="E353" i="4"/>
  <c r="F353" i="4"/>
  <c r="C354" i="4" s="1"/>
  <c r="B507" i="4"/>
  <c r="F507" i="4"/>
  <c r="A508" i="4"/>
  <c r="E507" i="4"/>
  <c r="D507" i="4"/>
  <c r="C507" i="4"/>
  <c r="C203" i="3"/>
  <c r="G202" i="3"/>
  <c r="D354" i="4" l="1"/>
  <c r="A509" i="4"/>
  <c r="E508" i="4"/>
  <c r="D508" i="4"/>
  <c r="C508" i="4"/>
  <c r="B508" i="4"/>
  <c r="F508" i="4"/>
  <c r="D203" i="3"/>
  <c r="F203" i="3" s="1"/>
  <c r="E203" i="3"/>
  <c r="E354" i="4" l="1"/>
  <c r="F354" i="4" s="1"/>
  <c r="C355" i="4" s="1"/>
  <c r="F509" i="4"/>
  <c r="D509" i="4"/>
  <c r="C509" i="4"/>
  <c r="B509" i="4"/>
  <c r="A510" i="4"/>
  <c r="E509" i="4"/>
  <c r="C204" i="3"/>
  <c r="G203" i="3"/>
  <c r="D355" i="4" l="1"/>
  <c r="E355" i="4" s="1"/>
  <c r="F355" i="4" s="1"/>
  <c r="C356" i="4" s="1"/>
  <c r="C510" i="4"/>
  <c r="B510" i="4"/>
  <c r="A511" i="4"/>
  <c r="F510" i="4"/>
  <c r="E510" i="4"/>
  <c r="D510" i="4"/>
  <c r="D204" i="3"/>
  <c r="D356" i="4" l="1"/>
  <c r="E356" i="4"/>
  <c r="F356" i="4" s="1"/>
  <c r="C357" i="4" s="1"/>
  <c r="A512" i="4"/>
  <c r="F511" i="4"/>
  <c r="E511" i="4"/>
  <c r="C511" i="4"/>
  <c r="B511" i="4"/>
  <c r="D511" i="4"/>
  <c r="E204" i="3"/>
  <c r="F204" i="3" s="1"/>
  <c r="D357" i="4" l="1"/>
  <c r="E357" i="4"/>
  <c r="F357" i="4" s="1"/>
  <c r="C358" i="4" s="1"/>
  <c r="D512" i="4"/>
  <c r="B512" i="4"/>
  <c r="F512" i="4"/>
  <c r="A513" i="4"/>
  <c r="E512" i="4"/>
  <c r="C512" i="4"/>
  <c r="C205" i="3"/>
  <c r="G204" i="3"/>
  <c r="D358" i="4" l="1"/>
  <c r="E358" i="4" s="1"/>
  <c r="F358" i="4" s="1"/>
  <c r="C359" i="4" s="1"/>
  <c r="A514" i="4"/>
  <c r="F513" i="4"/>
  <c r="C513" i="4"/>
  <c r="B513" i="4"/>
  <c r="E513" i="4"/>
  <c r="D513" i="4"/>
  <c r="D205" i="3"/>
  <c r="E205" i="3"/>
  <c r="F205" i="3" s="1"/>
  <c r="D359" i="4" l="1"/>
  <c r="F514" i="4"/>
  <c r="E514" i="4"/>
  <c r="D514" i="4"/>
  <c r="C514" i="4"/>
  <c r="A515" i="4"/>
  <c r="B514" i="4"/>
  <c r="C206" i="3"/>
  <c r="G205" i="3"/>
  <c r="F359" i="4" l="1"/>
  <c r="C360" i="4" s="1"/>
  <c r="E359" i="4"/>
  <c r="B515" i="4"/>
  <c r="C515" i="4"/>
  <c r="A516" i="4"/>
  <c r="F515" i="4"/>
  <c r="E515" i="4"/>
  <c r="D515" i="4"/>
  <c r="D206" i="3"/>
  <c r="E206" i="3"/>
  <c r="F206" i="3" s="1"/>
  <c r="D360" i="4" l="1"/>
  <c r="F360" i="4" s="1"/>
  <c r="C361" i="4" s="1"/>
  <c r="E360" i="4"/>
  <c r="A517" i="4"/>
  <c r="E516" i="4"/>
  <c r="D516" i="4"/>
  <c r="F516" i="4"/>
  <c r="C516" i="4"/>
  <c r="B516" i="4"/>
  <c r="C207" i="3"/>
  <c r="G206" i="3"/>
  <c r="D361" i="4" l="1"/>
  <c r="E361" i="4" s="1"/>
  <c r="F361" i="4" s="1"/>
  <c r="C362" i="4" s="1"/>
  <c r="F517" i="4"/>
  <c r="E517" i="4"/>
  <c r="D517" i="4"/>
  <c r="C517" i="4"/>
  <c r="B517" i="4"/>
  <c r="A518" i="4"/>
  <c r="D207" i="3"/>
  <c r="E207" i="3" s="1"/>
  <c r="F207" i="3" s="1"/>
  <c r="E362" i="4" l="1"/>
  <c r="D362" i="4"/>
  <c r="F362" i="4" s="1"/>
  <c r="C363" i="4" s="1"/>
  <c r="A519" i="4"/>
  <c r="D518" i="4"/>
  <c r="C518" i="4"/>
  <c r="F518" i="4"/>
  <c r="E518" i="4"/>
  <c r="B518" i="4"/>
  <c r="C208" i="3"/>
  <c r="G207" i="3"/>
  <c r="D363" i="4" l="1"/>
  <c r="E363" i="4"/>
  <c r="F363" i="4" s="1"/>
  <c r="C364" i="4" s="1"/>
  <c r="A520" i="4"/>
  <c r="F519" i="4"/>
  <c r="E519" i="4"/>
  <c r="C519" i="4"/>
  <c r="B519" i="4"/>
  <c r="D519" i="4"/>
  <c r="D208" i="3"/>
  <c r="E208" i="3" s="1"/>
  <c r="F208" i="3" s="1"/>
  <c r="D364" i="4" l="1"/>
  <c r="E364" i="4" s="1"/>
  <c r="D520" i="4"/>
  <c r="C520" i="4"/>
  <c r="B520" i="4"/>
  <c r="E520" i="4"/>
  <c r="F520" i="4"/>
  <c r="A521" i="4"/>
  <c r="C209" i="3"/>
  <c r="G208" i="3"/>
  <c r="F364" i="4" l="1"/>
  <c r="C365" i="4" s="1"/>
  <c r="A522" i="4"/>
  <c r="F521" i="4"/>
  <c r="E521" i="4"/>
  <c r="C521" i="4"/>
  <c r="D521" i="4"/>
  <c r="B521" i="4"/>
  <c r="D209" i="3"/>
  <c r="E209" i="3" s="1"/>
  <c r="D365" i="4" l="1"/>
  <c r="A523" i="4"/>
  <c r="F522" i="4"/>
  <c r="E522" i="4"/>
  <c r="D522" i="4"/>
  <c r="C522" i="4"/>
  <c r="B522" i="4"/>
  <c r="F209" i="3"/>
  <c r="E365" i="4" l="1"/>
  <c r="F365" i="4" s="1"/>
  <c r="C366" i="4" s="1"/>
  <c r="B523" i="4"/>
  <c r="F523" i="4"/>
  <c r="E523" i="4"/>
  <c r="C523" i="4"/>
  <c r="A524" i="4"/>
  <c r="D523" i="4"/>
  <c r="C210" i="3"/>
  <c r="G209" i="3"/>
  <c r="D366" i="4" l="1"/>
  <c r="F366" i="4" s="1"/>
  <c r="C367" i="4" s="1"/>
  <c r="E366" i="4"/>
  <c r="A525" i="4"/>
  <c r="E524" i="4"/>
  <c r="D524" i="4"/>
  <c r="F524" i="4"/>
  <c r="C524" i="4"/>
  <c r="B524" i="4"/>
  <c r="D210" i="3"/>
  <c r="D367" i="4" l="1"/>
  <c r="E367" i="4"/>
  <c r="F367" i="4" s="1"/>
  <c r="C368" i="4" s="1"/>
  <c r="F525" i="4"/>
  <c r="E525" i="4"/>
  <c r="D525" i="4"/>
  <c r="C525" i="4"/>
  <c r="B525" i="4"/>
  <c r="A526" i="4"/>
  <c r="F210" i="3"/>
  <c r="E210" i="3"/>
  <c r="D368" i="4" l="1"/>
  <c r="A527" i="4"/>
  <c r="F526" i="4"/>
  <c r="E526" i="4"/>
  <c r="D526" i="4"/>
  <c r="C526" i="4"/>
  <c r="B526" i="4"/>
  <c r="C211" i="3"/>
  <c r="G210" i="3"/>
  <c r="E368" i="4" l="1"/>
  <c r="F368" i="4" s="1"/>
  <c r="C369" i="4" s="1"/>
  <c r="A528" i="4"/>
  <c r="F527" i="4"/>
  <c r="E527" i="4"/>
  <c r="C527" i="4"/>
  <c r="B527" i="4"/>
  <c r="D527" i="4"/>
  <c r="D211" i="3"/>
  <c r="D369" i="4" l="1"/>
  <c r="D528" i="4"/>
  <c r="C528" i="4"/>
  <c r="B528" i="4"/>
  <c r="A529" i="4"/>
  <c r="E528" i="4"/>
  <c r="F528" i="4"/>
  <c r="E211" i="3"/>
  <c r="F211" i="3" s="1"/>
  <c r="E369" i="4" l="1"/>
  <c r="F369" i="4" s="1"/>
  <c r="C370" i="4" s="1"/>
  <c r="A530" i="4"/>
  <c r="F529" i="4"/>
  <c r="D529" i="4"/>
  <c r="B529" i="4"/>
  <c r="E529" i="4"/>
  <c r="C529" i="4"/>
  <c r="C212" i="3"/>
  <c r="G211" i="3"/>
  <c r="D370" i="4" l="1"/>
  <c r="E370" i="4" s="1"/>
  <c r="F370" i="4" s="1"/>
  <c r="C371" i="4" s="1"/>
  <c r="A531" i="4"/>
  <c r="F530" i="4"/>
  <c r="E530" i="4"/>
  <c r="D530" i="4"/>
  <c r="C530" i="4"/>
  <c r="B530" i="4"/>
  <c r="D212" i="3"/>
  <c r="F212" i="3" s="1"/>
  <c r="E212" i="3"/>
  <c r="D371" i="4" l="1"/>
  <c r="E371" i="4" s="1"/>
  <c r="F371" i="4" s="1"/>
  <c r="C372" i="4" s="1"/>
  <c r="B531" i="4"/>
  <c r="D531" i="4"/>
  <c r="C531" i="4"/>
  <c r="F531" i="4"/>
  <c r="E531" i="4"/>
  <c r="A532" i="4"/>
  <c r="C213" i="3"/>
  <c r="G212" i="3"/>
  <c r="D372" i="4" l="1"/>
  <c r="E372" i="4" s="1"/>
  <c r="F372" i="4" s="1"/>
  <c r="C373" i="4" s="1"/>
  <c r="A533" i="4"/>
  <c r="E532" i="4"/>
  <c r="D532" i="4"/>
  <c r="B532" i="4"/>
  <c r="F532" i="4"/>
  <c r="C532" i="4"/>
  <c r="D213" i="3"/>
  <c r="D373" i="4" l="1"/>
  <c r="E373" i="4" s="1"/>
  <c r="F373" i="4" s="1"/>
  <c r="F533" i="4"/>
  <c r="E533" i="4"/>
  <c r="D533" i="4"/>
  <c r="C533" i="4"/>
  <c r="B533" i="4"/>
  <c r="A534" i="4"/>
  <c r="F213" i="3"/>
  <c r="E213" i="3"/>
  <c r="F534" i="4" l="1"/>
  <c r="A535" i="4"/>
  <c r="E534" i="4"/>
  <c r="C534" i="4"/>
  <c r="D534" i="4"/>
  <c r="B534" i="4"/>
  <c r="C214" i="3"/>
  <c r="G213" i="3"/>
  <c r="A536" i="4" l="1"/>
  <c r="F535" i="4"/>
  <c r="E535" i="4"/>
  <c r="C535" i="4"/>
  <c r="B535" i="4"/>
  <c r="D535" i="4"/>
  <c r="D214" i="3"/>
  <c r="E214" i="3" s="1"/>
  <c r="D536" i="4" l="1"/>
  <c r="C536" i="4"/>
  <c r="B536" i="4"/>
  <c r="A537" i="4"/>
  <c r="F536" i="4"/>
  <c r="E536" i="4"/>
  <c r="F214" i="3"/>
  <c r="A538" i="4" l="1"/>
  <c r="F537" i="4"/>
  <c r="D537" i="4"/>
  <c r="B537" i="4"/>
  <c r="E537" i="4"/>
  <c r="C537" i="4"/>
  <c r="C215" i="3"/>
  <c r="G214" i="3"/>
  <c r="A539" i="4" l="1"/>
  <c r="F538" i="4"/>
  <c r="E538" i="4"/>
  <c r="D538" i="4"/>
  <c r="C538" i="4"/>
  <c r="B538" i="4"/>
  <c r="D215" i="3"/>
  <c r="B539" i="4" l="1"/>
  <c r="A540" i="4"/>
  <c r="E539" i="4"/>
  <c r="C539" i="4"/>
  <c r="F539" i="4"/>
  <c r="D539" i="4"/>
  <c r="E215" i="3"/>
  <c r="F215" i="3" s="1"/>
  <c r="A541" i="4" l="1"/>
  <c r="E540" i="4"/>
  <c r="D540" i="4"/>
  <c r="B540" i="4"/>
  <c r="F540" i="4"/>
  <c r="C540" i="4"/>
  <c r="C216" i="3"/>
  <c r="G215" i="3"/>
  <c r="F541" i="4" l="1"/>
  <c r="E541" i="4"/>
  <c r="D541" i="4"/>
  <c r="C541" i="4"/>
  <c r="B541" i="4"/>
  <c r="A542" i="4"/>
  <c r="D216" i="3"/>
  <c r="E216" i="3" s="1"/>
  <c r="F216" i="3" s="1"/>
  <c r="F542" i="4" l="1"/>
  <c r="A543" i="4"/>
  <c r="E542" i="4"/>
  <c r="D542" i="4"/>
  <c r="C542" i="4"/>
  <c r="B542" i="4"/>
  <c r="C217" i="3"/>
  <c r="G216" i="3"/>
  <c r="A544" i="4" l="1"/>
  <c r="F543" i="4"/>
  <c r="E543" i="4"/>
  <c r="C543" i="4"/>
  <c r="B543" i="4"/>
  <c r="D543" i="4"/>
  <c r="D217" i="3"/>
  <c r="E217" i="3"/>
  <c r="F217" i="3" s="1"/>
  <c r="D544" i="4" l="1"/>
  <c r="C544" i="4"/>
  <c r="B544" i="4"/>
  <c r="A545" i="4"/>
  <c r="F544" i="4"/>
  <c r="E544" i="4"/>
  <c r="C218" i="3"/>
  <c r="G217" i="3"/>
  <c r="A546" i="4" l="1"/>
  <c r="F545" i="4"/>
  <c r="D545" i="4"/>
  <c r="E545" i="4"/>
  <c r="C545" i="4"/>
  <c r="B545" i="4"/>
  <c r="D218" i="3"/>
  <c r="A547" i="4" l="1"/>
  <c r="F546" i="4"/>
  <c r="E546" i="4"/>
  <c r="D546" i="4"/>
  <c r="C546" i="4"/>
  <c r="B546" i="4"/>
  <c r="E218" i="3"/>
  <c r="F218" i="3" s="1"/>
  <c r="B547" i="4" l="1"/>
  <c r="E547" i="4"/>
  <c r="D547" i="4"/>
  <c r="F547" i="4"/>
  <c r="C547" i="4"/>
  <c r="A548" i="4"/>
  <c r="C219" i="3"/>
  <c r="G218" i="3"/>
  <c r="A549" i="4" l="1"/>
  <c r="E548" i="4"/>
  <c r="D548" i="4"/>
  <c r="B548" i="4"/>
  <c r="F548" i="4"/>
  <c r="C548" i="4"/>
  <c r="D219" i="3"/>
  <c r="E219" i="3" s="1"/>
  <c r="F219" i="3" s="1"/>
  <c r="F549" i="4" l="1"/>
  <c r="E549" i="4"/>
  <c r="D549" i="4"/>
  <c r="C549" i="4"/>
  <c r="B549" i="4"/>
  <c r="A550" i="4"/>
  <c r="C220" i="3"/>
  <c r="G219" i="3"/>
  <c r="F550" i="4" l="1"/>
  <c r="E550" i="4"/>
  <c r="D550" i="4"/>
  <c r="C550" i="4"/>
  <c r="B550" i="4"/>
  <c r="A551" i="4"/>
  <c r="D220" i="3"/>
  <c r="A552" i="4" l="1"/>
  <c r="F551" i="4"/>
  <c r="E551" i="4"/>
  <c r="C551" i="4"/>
  <c r="B551" i="4"/>
  <c r="D551" i="4"/>
  <c r="E220" i="3"/>
  <c r="F220" i="3" s="1"/>
  <c r="D552" i="4" l="1"/>
  <c r="C552" i="4"/>
  <c r="B552" i="4"/>
  <c r="F552" i="4"/>
  <c r="A553" i="4"/>
  <c r="E552" i="4"/>
  <c r="C221" i="3"/>
  <c r="G220" i="3"/>
  <c r="A554" i="4" l="1"/>
  <c r="F553" i="4"/>
  <c r="D553" i="4"/>
  <c r="C553" i="4"/>
  <c r="B553" i="4"/>
  <c r="E553" i="4"/>
  <c r="D221" i="3"/>
  <c r="A555" i="4" l="1"/>
  <c r="F554" i="4"/>
  <c r="E554" i="4"/>
  <c r="D554" i="4"/>
  <c r="C554" i="4"/>
  <c r="B554" i="4"/>
  <c r="E221" i="3"/>
  <c r="F221" i="3" s="1"/>
  <c r="B555" i="4" l="1"/>
  <c r="E555" i="4"/>
  <c r="D555" i="4"/>
  <c r="C555" i="4"/>
  <c r="A556" i="4"/>
  <c r="F555" i="4"/>
  <c r="C222" i="3"/>
  <c r="G221" i="3"/>
  <c r="A557" i="4" l="1"/>
  <c r="F556" i="4"/>
  <c r="E556" i="4"/>
  <c r="D556" i="4"/>
  <c r="B556" i="4"/>
  <c r="C556" i="4"/>
  <c r="D222" i="3"/>
  <c r="F222" i="3" s="1"/>
  <c r="E222" i="3"/>
  <c r="F557" i="4" l="1"/>
  <c r="E557" i="4"/>
  <c r="D557" i="4"/>
  <c r="C557" i="4"/>
  <c r="B557" i="4"/>
  <c r="A558" i="4"/>
  <c r="C223" i="3"/>
  <c r="G222" i="3"/>
  <c r="F558" i="4" l="1"/>
  <c r="E558" i="4"/>
  <c r="B558" i="4"/>
  <c r="A559" i="4"/>
  <c r="C558" i="4"/>
  <c r="D558" i="4"/>
  <c r="D223" i="3"/>
  <c r="E223" i="3"/>
  <c r="F223" i="3"/>
  <c r="C224" i="3" s="1"/>
  <c r="A560" i="4" l="1"/>
  <c r="F559" i="4"/>
  <c r="E559" i="4"/>
  <c r="D559" i="4"/>
  <c r="C559" i="4"/>
  <c r="B559" i="4"/>
  <c r="D224" i="3"/>
  <c r="G223" i="3"/>
  <c r="D560" i="4" l="1"/>
  <c r="C560" i="4"/>
  <c r="B560" i="4"/>
  <c r="F560" i="4"/>
  <c r="E560" i="4"/>
  <c r="A561" i="4"/>
  <c r="F224" i="3"/>
  <c r="E224" i="3"/>
  <c r="A562" i="4" l="1"/>
  <c r="F561" i="4"/>
  <c r="D561" i="4"/>
  <c r="E561" i="4"/>
  <c r="C561" i="4"/>
  <c r="B561" i="4"/>
  <c r="C225" i="3"/>
  <c r="G224" i="3"/>
  <c r="A563" i="4" l="1"/>
  <c r="F562" i="4"/>
  <c r="E562" i="4"/>
  <c r="D562" i="4"/>
  <c r="C562" i="4"/>
  <c r="B562" i="4"/>
  <c r="D225" i="3"/>
  <c r="F225" i="3" s="1"/>
  <c r="E225" i="3"/>
  <c r="B563" i="4" l="1"/>
  <c r="C563" i="4"/>
  <c r="A564" i="4"/>
  <c r="F563" i="4"/>
  <c r="E563" i="4"/>
  <c r="D563" i="4"/>
  <c r="C226" i="3"/>
  <c r="G225" i="3"/>
  <c r="A565" i="4" l="1"/>
  <c r="F564" i="4"/>
  <c r="E564" i="4"/>
  <c r="D564" i="4"/>
  <c r="B564" i="4"/>
  <c r="C564" i="4"/>
  <c r="D226" i="3"/>
  <c r="E226" i="3" s="1"/>
  <c r="F565" i="4" l="1"/>
  <c r="E565" i="4"/>
  <c r="D565" i="4"/>
  <c r="C565" i="4"/>
  <c r="B565" i="4"/>
  <c r="A566" i="4"/>
  <c r="F226" i="3"/>
  <c r="F566" i="4" l="1"/>
  <c r="A567" i="4"/>
  <c r="E566" i="4"/>
  <c r="C566" i="4"/>
  <c r="D566" i="4"/>
  <c r="B566" i="4"/>
  <c r="C227" i="3"/>
  <c r="G226" i="3"/>
  <c r="A568" i="4" l="1"/>
  <c r="F567" i="4"/>
  <c r="E567" i="4"/>
  <c r="D567" i="4"/>
  <c r="C567" i="4"/>
  <c r="B567" i="4"/>
  <c r="D227" i="3"/>
  <c r="E227" i="3" s="1"/>
  <c r="D568" i="4" l="1"/>
  <c r="C568" i="4"/>
  <c r="B568" i="4"/>
  <c r="A569" i="4"/>
  <c r="F568" i="4"/>
  <c r="E568" i="4"/>
  <c r="F227" i="3"/>
  <c r="A570" i="4" l="1"/>
  <c r="F569" i="4"/>
  <c r="D569" i="4"/>
  <c r="C569" i="4"/>
  <c r="B569" i="4"/>
  <c r="E569" i="4"/>
  <c r="C228" i="3"/>
  <c r="G227" i="3"/>
  <c r="A571" i="4" l="1"/>
  <c r="F570" i="4"/>
  <c r="E570" i="4"/>
  <c r="D570" i="4"/>
  <c r="C570" i="4"/>
  <c r="B570" i="4"/>
  <c r="D228" i="3"/>
  <c r="E228" i="3" s="1"/>
  <c r="F228" i="3" s="1"/>
  <c r="B571" i="4" l="1"/>
  <c r="A572" i="4"/>
  <c r="F571" i="4"/>
  <c r="E571" i="4"/>
  <c r="D571" i="4"/>
  <c r="C571" i="4"/>
  <c r="C229" i="3"/>
  <c r="G228" i="3"/>
  <c r="A573" i="4" l="1"/>
  <c r="F572" i="4"/>
  <c r="E572" i="4"/>
  <c r="D572" i="4"/>
  <c r="B572" i="4"/>
  <c r="C572" i="4"/>
  <c r="D229" i="3"/>
  <c r="E229" i="3"/>
  <c r="F229" i="3"/>
  <c r="C230" i="3" s="1"/>
  <c r="F573" i="4" l="1"/>
  <c r="E573" i="4"/>
  <c r="D573" i="4"/>
  <c r="C573" i="4"/>
  <c r="B573" i="4"/>
  <c r="A574" i="4"/>
  <c r="D230" i="3"/>
  <c r="G229" i="3"/>
  <c r="F574" i="4" l="1"/>
  <c r="A575" i="4"/>
  <c r="D574" i="4"/>
  <c r="C574" i="4"/>
  <c r="E574" i="4"/>
  <c r="B574" i="4"/>
  <c r="E230" i="3"/>
  <c r="F230" i="3" s="1"/>
  <c r="A576" i="4" l="1"/>
  <c r="F575" i="4"/>
  <c r="E575" i="4"/>
  <c r="D575" i="4"/>
  <c r="C575" i="4"/>
  <c r="B575" i="4"/>
  <c r="C231" i="3"/>
  <c r="G230" i="3"/>
  <c r="D576" i="4" l="1"/>
  <c r="C576" i="4"/>
  <c r="B576" i="4"/>
  <c r="A577" i="4"/>
  <c r="F576" i="4"/>
  <c r="E576" i="4"/>
  <c r="D231" i="3"/>
  <c r="E231" i="3" s="1"/>
  <c r="F231" i="3" s="1"/>
  <c r="A578" i="4" l="1"/>
  <c r="F577" i="4"/>
  <c r="D577" i="4"/>
  <c r="E577" i="4"/>
  <c r="C577" i="4"/>
  <c r="B577" i="4"/>
  <c r="C232" i="3"/>
  <c r="G231" i="3"/>
  <c r="A579" i="4" l="1"/>
  <c r="F578" i="4"/>
  <c r="E578" i="4"/>
  <c r="D578" i="4"/>
  <c r="C578" i="4"/>
  <c r="B578" i="4"/>
  <c r="E232" i="3"/>
  <c r="F232" i="3" s="1"/>
  <c r="D232" i="3"/>
  <c r="B579" i="4" l="1"/>
  <c r="A580" i="4"/>
  <c r="F579" i="4"/>
  <c r="E579" i="4"/>
  <c r="D579" i="4"/>
  <c r="C579" i="4"/>
  <c r="C233" i="3"/>
  <c r="G232" i="3"/>
  <c r="A581" i="4" l="1"/>
  <c r="F580" i="4"/>
  <c r="E580" i="4"/>
  <c r="D580" i="4"/>
  <c r="B580" i="4"/>
  <c r="C580" i="4"/>
  <c r="D233" i="3"/>
  <c r="F581" i="4" l="1"/>
  <c r="E581" i="4"/>
  <c r="D581" i="4"/>
  <c r="C581" i="4"/>
  <c r="B581" i="4"/>
  <c r="A582" i="4"/>
  <c r="E233" i="3"/>
  <c r="F233" i="3" s="1"/>
  <c r="F582" i="4" l="1"/>
  <c r="A583" i="4"/>
  <c r="E582" i="4"/>
  <c r="D582" i="4"/>
  <c r="B582" i="4"/>
  <c r="C582" i="4"/>
  <c r="C234" i="3"/>
  <c r="G233" i="3"/>
  <c r="A584" i="4" l="1"/>
  <c r="F583" i="4"/>
  <c r="E583" i="4"/>
  <c r="D583" i="4"/>
  <c r="C583" i="4"/>
  <c r="B583" i="4"/>
  <c r="D234" i="3"/>
  <c r="D584" i="4" l="1"/>
  <c r="C584" i="4"/>
  <c r="B584" i="4"/>
  <c r="E584" i="4"/>
  <c r="A585" i="4"/>
  <c r="F584" i="4"/>
  <c r="E234" i="3"/>
  <c r="F234" i="3" s="1"/>
  <c r="A586" i="4" l="1"/>
  <c r="F585" i="4"/>
  <c r="D585" i="4"/>
  <c r="E585" i="4"/>
  <c r="C585" i="4"/>
  <c r="B585" i="4"/>
  <c r="C235" i="3"/>
  <c r="G234" i="3"/>
  <c r="A587" i="4" l="1"/>
  <c r="F586" i="4"/>
  <c r="E586" i="4"/>
  <c r="D586" i="4"/>
  <c r="C586" i="4"/>
  <c r="B586" i="4"/>
  <c r="D235" i="3"/>
  <c r="F235" i="3" s="1"/>
  <c r="E235" i="3"/>
  <c r="B587" i="4" l="1"/>
  <c r="A588" i="4"/>
  <c r="F587" i="4"/>
  <c r="E587" i="4"/>
  <c r="C587" i="4"/>
  <c r="D587" i="4"/>
  <c r="C236" i="3"/>
  <c r="G235" i="3"/>
  <c r="A589" i="4" l="1"/>
  <c r="F588" i="4"/>
  <c r="E588" i="4"/>
  <c r="D588" i="4"/>
  <c r="B588" i="4"/>
  <c r="C588" i="4"/>
  <c r="D236" i="3"/>
  <c r="E236" i="3" s="1"/>
  <c r="F589" i="4" l="1"/>
  <c r="E589" i="4"/>
  <c r="D589" i="4"/>
  <c r="C589" i="4"/>
  <c r="B589" i="4"/>
  <c r="A590" i="4"/>
  <c r="F236" i="3"/>
  <c r="F590" i="4" l="1"/>
  <c r="E590" i="4"/>
  <c r="D590" i="4"/>
  <c r="C590" i="4"/>
  <c r="B590" i="4"/>
  <c r="A591" i="4"/>
  <c r="C237" i="3"/>
  <c r="G236" i="3"/>
  <c r="A592" i="4" l="1"/>
  <c r="F591" i="4"/>
  <c r="E591" i="4"/>
  <c r="D591" i="4"/>
  <c r="C591" i="4"/>
  <c r="B591" i="4"/>
  <c r="D237" i="3"/>
  <c r="D592" i="4" l="1"/>
  <c r="C592" i="4"/>
  <c r="B592" i="4"/>
  <c r="A593" i="4"/>
  <c r="F592" i="4"/>
  <c r="E592" i="4"/>
  <c r="E237" i="3"/>
  <c r="F237" i="3" s="1"/>
  <c r="A594" i="4" l="1"/>
  <c r="F593" i="4"/>
  <c r="D593" i="4"/>
  <c r="E593" i="4"/>
  <c r="C593" i="4"/>
  <c r="B593" i="4"/>
  <c r="C238" i="3"/>
  <c r="G237" i="3"/>
  <c r="A595" i="4" l="1"/>
  <c r="F594" i="4"/>
  <c r="E594" i="4"/>
  <c r="D594" i="4"/>
  <c r="C594" i="4"/>
  <c r="B594" i="4"/>
  <c r="D238" i="3"/>
  <c r="E238" i="3" s="1"/>
  <c r="F238" i="3" s="1"/>
  <c r="B595" i="4" l="1"/>
  <c r="F595" i="4"/>
  <c r="E595" i="4"/>
  <c r="D595" i="4"/>
  <c r="C595" i="4"/>
  <c r="A596" i="4"/>
  <c r="C239" i="3"/>
  <c r="G238" i="3"/>
  <c r="A597" i="4" l="1"/>
  <c r="F596" i="4"/>
  <c r="E596" i="4"/>
  <c r="D596" i="4"/>
  <c r="B596" i="4"/>
  <c r="C596" i="4"/>
  <c r="D239" i="3"/>
  <c r="E239" i="3"/>
  <c r="F239" i="3" s="1"/>
  <c r="F597" i="4" l="1"/>
  <c r="E597" i="4"/>
  <c r="D597" i="4"/>
  <c r="C597" i="4"/>
  <c r="B597" i="4"/>
  <c r="A598" i="4"/>
  <c r="C240" i="3"/>
  <c r="G239" i="3"/>
  <c r="F598" i="4" l="1"/>
  <c r="C598" i="4"/>
  <c r="B598" i="4"/>
  <c r="A599" i="4"/>
  <c r="E598" i="4"/>
  <c r="D598" i="4"/>
  <c r="D240" i="3"/>
  <c r="A600" i="4" l="1"/>
  <c r="F599" i="4"/>
  <c r="E599" i="4"/>
  <c r="D599" i="4"/>
  <c r="C599" i="4"/>
  <c r="B599" i="4"/>
  <c r="E240" i="3"/>
  <c r="F240" i="3" s="1"/>
  <c r="D600" i="4" l="1"/>
  <c r="C600" i="4"/>
  <c r="B600" i="4"/>
  <c r="A601" i="4"/>
  <c r="F600" i="4"/>
  <c r="E600" i="4"/>
  <c r="C241" i="3"/>
  <c r="G240" i="3"/>
  <c r="A602" i="4" l="1"/>
  <c r="F601" i="4"/>
  <c r="D601" i="4"/>
  <c r="E601" i="4"/>
  <c r="C601" i="4"/>
  <c r="B601" i="4"/>
  <c r="D241" i="3"/>
  <c r="E241" i="3" s="1"/>
  <c r="F241" i="3" s="1"/>
  <c r="A603" i="4" l="1"/>
  <c r="F602" i="4"/>
  <c r="E602" i="4"/>
  <c r="D602" i="4"/>
  <c r="C602" i="4"/>
  <c r="B602" i="4"/>
  <c r="C242" i="3"/>
  <c r="G241" i="3"/>
  <c r="B603" i="4" l="1"/>
  <c r="A604" i="4"/>
  <c r="F603" i="4"/>
  <c r="D603" i="4"/>
  <c r="C603" i="4"/>
  <c r="E603" i="4"/>
  <c r="E242" i="3"/>
  <c r="D242" i="3"/>
  <c r="F242" i="3" s="1"/>
  <c r="A605" i="4" l="1"/>
  <c r="F604" i="4"/>
  <c r="E604" i="4"/>
  <c r="D604" i="4"/>
  <c r="B604" i="4"/>
  <c r="C604" i="4"/>
  <c r="C243" i="3"/>
  <c r="G242" i="3"/>
  <c r="F605" i="4" l="1"/>
  <c r="E605" i="4"/>
  <c r="D605" i="4"/>
  <c r="C605" i="4"/>
  <c r="B605" i="4"/>
  <c r="A606" i="4"/>
  <c r="D243" i="3"/>
  <c r="F606" i="4" l="1"/>
  <c r="A607" i="4"/>
  <c r="E606" i="4"/>
  <c r="D606" i="4"/>
  <c r="C606" i="4"/>
  <c r="B606" i="4"/>
  <c r="E243" i="3"/>
  <c r="F243" i="3" s="1"/>
  <c r="A608" i="4" l="1"/>
  <c r="F607" i="4"/>
  <c r="E607" i="4"/>
  <c r="D607" i="4"/>
  <c r="C607" i="4"/>
  <c r="B607" i="4"/>
  <c r="C244" i="3"/>
  <c r="G243" i="3"/>
  <c r="D608" i="4" l="1"/>
  <c r="C608" i="4"/>
  <c r="B608" i="4"/>
  <c r="A609" i="4"/>
  <c r="F608" i="4"/>
  <c r="E608" i="4"/>
  <c r="D244" i="3"/>
  <c r="E244" i="3" s="1"/>
  <c r="F244" i="3" s="1"/>
  <c r="A610" i="4" l="1"/>
  <c r="F609" i="4"/>
  <c r="D609" i="4"/>
  <c r="E609" i="4"/>
  <c r="C609" i="4"/>
  <c r="B609" i="4"/>
  <c r="C245" i="3"/>
  <c r="G244" i="3"/>
  <c r="A611" i="4" l="1"/>
  <c r="F610" i="4"/>
  <c r="E610" i="4"/>
  <c r="D610" i="4"/>
  <c r="C610" i="4"/>
  <c r="B610" i="4"/>
  <c r="D245" i="3"/>
  <c r="E245" i="3"/>
  <c r="F245" i="3" s="1"/>
  <c r="B611" i="4" l="1"/>
  <c r="F611" i="4"/>
  <c r="A612" i="4"/>
  <c r="E611" i="4"/>
  <c r="D611" i="4"/>
  <c r="C611" i="4"/>
  <c r="C246" i="3"/>
  <c r="G245" i="3"/>
  <c r="A613" i="4" l="1"/>
  <c r="F612" i="4"/>
  <c r="E612" i="4"/>
  <c r="D612" i="4"/>
  <c r="B612" i="4"/>
  <c r="C612" i="4"/>
  <c r="D246" i="3"/>
  <c r="E246" i="3"/>
  <c r="F246" i="3" s="1"/>
  <c r="F613" i="4" l="1"/>
  <c r="E613" i="4"/>
  <c r="D613" i="4"/>
  <c r="C613" i="4"/>
  <c r="B613" i="4"/>
  <c r="C247" i="3"/>
  <c r="G246" i="3"/>
  <c r="E247" i="3" l="1"/>
  <c r="F247" i="3" s="1"/>
  <c r="D247" i="3"/>
  <c r="C248" i="3" l="1"/>
  <c r="G247" i="3"/>
  <c r="E248" i="3" l="1"/>
  <c r="F248" i="3" s="1"/>
  <c r="D248" i="3"/>
  <c r="C249" i="3" l="1"/>
  <c r="G248" i="3"/>
  <c r="D249" i="3" l="1"/>
  <c r="E249" i="3"/>
  <c r="F249" i="3" s="1"/>
  <c r="C250" i="3" l="1"/>
  <c r="G249" i="3"/>
  <c r="D250" i="3" l="1"/>
  <c r="E250" i="3" l="1"/>
  <c r="F250" i="3" s="1"/>
  <c r="C251" i="3" l="1"/>
  <c r="G250" i="3"/>
  <c r="D251" i="3" l="1"/>
  <c r="E251" i="3" s="1"/>
  <c r="F251" i="3" s="1"/>
  <c r="C252" i="3" l="1"/>
  <c r="G251" i="3"/>
  <c r="D252" i="3" l="1"/>
  <c r="F252" i="3" s="1"/>
  <c r="E252" i="3"/>
  <c r="C253" i="3" l="1"/>
  <c r="G252" i="3"/>
  <c r="E253" i="3" l="1"/>
  <c r="D253" i="3"/>
  <c r="F253" i="3" s="1"/>
  <c r="C254" i="3" l="1"/>
  <c r="G253" i="3"/>
  <c r="E254" i="3" l="1"/>
  <c r="G254" i="3"/>
  <c r="D254" i="3"/>
  <c r="F254" i="3" s="1"/>
  <c r="C255" i="3" s="1"/>
  <c r="D255" i="3" l="1"/>
  <c r="E255" i="3"/>
  <c r="F255" i="3" s="1"/>
  <c r="C256" i="3" s="1"/>
  <c r="G255" i="3"/>
  <c r="G256" i="3" l="1"/>
  <c r="E256" i="3"/>
  <c r="D256" i="3"/>
  <c r="F256" i="3" s="1"/>
  <c r="C257" i="3" s="1"/>
  <c r="F257" i="3" l="1"/>
  <c r="C258" i="3" s="1"/>
  <c r="D257" i="3"/>
  <c r="G257" i="3"/>
  <c r="E257" i="3"/>
  <c r="E258" i="3" l="1"/>
  <c r="D258" i="3"/>
  <c r="G258" i="3"/>
  <c r="F258" i="3"/>
  <c r="C259" i="3" s="1"/>
  <c r="G259" i="3" l="1"/>
  <c r="E259" i="3"/>
  <c r="D259" i="3"/>
  <c r="F259" i="3" s="1"/>
  <c r="C260" i="3" s="1"/>
  <c r="G260" i="3" l="1"/>
  <c r="E260" i="3"/>
  <c r="D260" i="3"/>
  <c r="F260" i="3" s="1"/>
  <c r="C261" i="3" s="1"/>
  <c r="G261" i="3" l="1"/>
  <c r="E261" i="3"/>
  <c r="D261" i="3"/>
  <c r="F261" i="3"/>
  <c r="C262" i="3" s="1"/>
  <c r="G262" i="3" l="1"/>
  <c r="E262" i="3"/>
  <c r="D262" i="3"/>
  <c r="F262" i="3"/>
  <c r="C263" i="3" s="1"/>
  <c r="G263" i="3" l="1"/>
  <c r="E263" i="3"/>
  <c r="D263" i="3"/>
  <c r="F263" i="3" s="1"/>
  <c r="C264" i="3" s="1"/>
  <c r="E264" i="3" l="1"/>
  <c r="G264" i="3"/>
  <c r="F264" i="3"/>
  <c r="C265" i="3" s="1"/>
  <c r="D264" i="3"/>
  <c r="D265" i="3" l="1"/>
  <c r="G265" i="3"/>
  <c r="E265" i="3"/>
  <c r="F265" i="3"/>
  <c r="C266" i="3" s="1"/>
  <c r="G266" i="3" l="1"/>
  <c r="E266" i="3"/>
  <c r="D266" i="3"/>
  <c r="F266" i="3" s="1"/>
  <c r="C267" i="3" s="1"/>
  <c r="E267" i="3" l="1"/>
  <c r="G267" i="3"/>
  <c r="D267" i="3"/>
  <c r="F267" i="3" s="1"/>
  <c r="C268" i="3" s="1"/>
  <c r="E268" i="3" l="1"/>
  <c r="G268" i="3"/>
  <c r="D268" i="3"/>
  <c r="F268" i="3" s="1"/>
  <c r="C269" i="3" s="1"/>
  <c r="G269" i="3" l="1"/>
  <c r="E269" i="3"/>
  <c r="D269" i="3"/>
  <c r="F269" i="3"/>
  <c r="C270" i="3" s="1"/>
  <c r="E270" i="3" l="1"/>
  <c r="D270" i="3"/>
  <c r="F270" i="3" s="1"/>
  <c r="C271" i="3" s="1"/>
  <c r="G270" i="3"/>
  <c r="D271" i="3" l="1"/>
  <c r="E271" i="3"/>
  <c r="G271" i="3"/>
  <c r="F271" i="3"/>
  <c r="C272" i="3" s="1"/>
  <c r="G272" i="3" l="1"/>
  <c r="E272" i="3"/>
  <c r="D272" i="3"/>
  <c r="F272" i="3" s="1"/>
  <c r="C273" i="3" s="1"/>
  <c r="G273" i="3" l="1"/>
  <c r="D273" i="3"/>
  <c r="F273" i="3" s="1"/>
  <c r="C274" i="3" s="1"/>
  <c r="E273" i="3"/>
  <c r="E274" i="3" l="1"/>
  <c r="D274" i="3"/>
  <c r="G274" i="3"/>
  <c r="F274" i="3"/>
  <c r="C275" i="3" s="1"/>
  <c r="G275" i="3" l="1"/>
  <c r="E275" i="3"/>
  <c r="D275" i="3"/>
  <c r="F275" i="3" s="1"/>
  <c r="C276" i="3" s="1"/>
  <c r="G276" i="3" l="1"/>
  <c r="F276" i="3"/>
  <c r="C277" i="3" s="1"/>
  <c r="E276" i="3"/>
  <c r="D276" i="3"/>
  <c r="G277" i="3" l="1"/>
  <c r="E277" i="3"/>
  <c r="D277" i="3"/>
  <c r="F277" i="3" s="1"/>
  <c r="C278" i="3" s="1"/>
  <c r="G278" i="3" l="1"/>
  <c r="E278" i="3"/>
  <c r="D278" i="3"/>
  <c r="F278" i="3" s="1"/>
  <c r="C279" i="3" s="1"/>
  <c r="G279" i="3" l="1"/>
  <c r="E279" i="3"/>
  <c r="D279" i="3"/>
  <c r="F279" i="3" s="1"/>
  <c r="C280" i="3" s="1"/>
  <c r="E280" i="3" l="1"/>
  <c r="D280" i="3"/>
  <c r="F280" i="3"/>
  <c r="C281" i="3" s="1"/>
  <c r="G280" i="3"/>
  <c r="D281" i="3" l="1"/>
  <c r="F281" i="3" s="1"/>
  <c r="C282" i="3" s="1"/>
  <c r="G281" i="3"/>
  <c r="E281" i="3"/>
  <c r="G282" i="3" l="1"/>
  <c r="E282" i="3"/>
  <c r="D282" i="3"/>
  <c r="F282" i="3" s="1"/>
  <c r="C283" i="3" s="1"/>
  <c r="E283" i="3" l="1"/>
  <c r="F283" i="3" s="1"/>
  <c r="C284" i="3" s="1"/>
  <c r="D283" i="3"/>
  <c r="G283" i="3"/>
  <c r="G284" i="3" l="1"/>
  <c r="E284" i="3"/>
  <c r="D284" i="3"/>
  <c r="F284" i="3" s="1"/>
  <c r="C285" i="3" s="1"/>
  <c r="G285" i="3" l="1"/>
  <c r="E285" i="3"/>
  <c r="D285" i="3"/>
  <c r="F285" i="3" s="1"/>
  <c r="C286" i="3" s="1"/>
  <c r="G286" i="3" l="1"/>
  <c r="E286" i="3"/>
  <c r="D286" i="3"/>
  <c r="F286" i="3" s="1"/>
  <c r="C287" i="3" s="1"/>
  <c r="D287" i="3" l="1"/>
  <c r="E287" i="3"/>
  <c r="G287" i="3"/>
  <c r="F287" i="3"/>
  <c r="C288" i="3" s="1"/>
  <c r="G288" i="3" l="1"/>
  <c r="F288" i="3"/>
  <c r="C289" i="3" s="1"/>
  <c r="D288" i="3"/>
  <c r="E288" i="3"/>
  <c r="D289" i="3" l="1"/>
  <c r="F289" i="3" s="1"/>
  <c r="C290" i="3" s="1"/>
  <c r="G289" i="3"/>
  <c r="E289" i="3"/>
  <c r="E290" i="3" l="1"/>
  <c r="D290" i="3"/>
  <c r="G290" i="3"/>
  <c r="F290" i="3"/>
  <c r="C291" i="3" s="1"/>
  <c r="G291" i="3" l="1"/>
  <c r="E291" i="3"/>
  <c r="D291" i="3"/>
  <c r="F291" i="3" s="1"/>
  <c r="C292" i="3" s="1"/>
  <c r="G292" i="3" l="1"/>
  <c r="E292" i="3"/>
  <c r="D292" i="3"/>
  <c r="F292" i="3" s="1"/>
  <c r="C293" i="3" s="1"/>
  <c r="G293" i="3" l="1"/>
  <c r="E293" i="3"/>
  <c r="D293" i="3"/>
  <c r="F293" i="3" s="1"/>
  <c r="C294" i="3" s="1"/>
  <c r="G294" i="3" l="1"/>
  <c r="D294" i="3"/>
  <c r="F294" i="3" s="1"/>
  <c r="C295" i="3" s="1"/>
  <c r="E294" i="3"/>
  <c r="D295" i="3" l="1"/>
  <c r="G295" i="3"/>
  <c r="E295" i="3"/>
  <c r="F295" i="3" s="1"/>
  <c r="C296" i="3" s="1"/>
  <c r="E296" i="3" l="1"/>
  <c r="G296" i="3"/>
  <c r="F296" i="3"/>
  <c r="C297" i="3" s="1"/>
  <c r="D296" i="3"/>
  <c r="D297" i="3" l="1"/>
  <c r="G297" i="3"/>
  <c r="E297" i="3"/>
  <c r="F297" i="3"/>
  <c r="C298" i="3" s="1"/>
  <c r="G298" i="3" l="1"/>
  <c r="E298" i="3"/>
  <c r="D298" i="3"/>
  <c r="F298" i="3"/>
  <c r="C299" i="3" s="1"/>
  <c r="F299" i="3" l="1"/>
  <c r="C300" i="3" s="1"/>
  <c r="E299" i="3"/>
  <c r="D299" i="3"/>
  <c r="G299" i="3"/>
  <c r="G300" i="3" l="1"/>
  <c r="F300" i="3"/>
  <c r="C301" i="3" s="1"/>
  <c r="D300" i="3"/>
  <c r="E300" i="3"/>
  <c r="G301" i="3" l="1"/>
  <c r="D301" i="3"/>
  <c r="E301" i="3"/>
  <c r="F301" i="3" s="1"/>
  <c r="C302" i="3" s="1"/>
  <c r="D302" i="3" l="1"/>
  <c r="G302" i="3"/>
  <c r="E302" i="3"/>
  <c r="F302" i="3" s="1"/>
  <c r="C303" i="3" s="1"/>
  <c r="D303" i="3" l="1"/>
  <c r="F303" i="3" s="1"/>
  <c r="C304" i="3" s="1"/>
  <c r="G303" i="3"/>
  <c r="E303" i="3"/>
  <c r="E304" i="3" l="1"/>
  <c r="D304" i="3"/>
  <c r="G304" i="3"/>
  <c r="F304" i="3"/>
  <c r="C305" i="3" s="1"/>
  <c r="F305" i="3" l="1"/>
  <c r="C306" i="3" s="1"/>
  <c r="D305" i="3"/>
  <c r="G305" i="3"/>
  <c r="E305" i="3"/>
  <c r="E306" i="3" l="1"/>
  <c r="D306" i="3"/>
  <c r="G306" i="3"/>
  <c r="F306" i="3"/>
  <c r="C307" i="3" s="1"/>
  <c r="F307" i="3" l="1"/>
  <c r="C308" i="3" s="1"/>
  <c r="E307" i="3"/>
  <c r="D307" i="3"/>
  <c r="G307" i="3"/>
  <c r="G308" i="3" l="1"/>
  <c r="F308" i="3"/>
  <c r="C309" i="3" s="1"/>
  <c r="E308" i="3"/>
  <c r="D308" i="3"/>
  <c r="G309" i="3" l="1"/>
  <c r="E309" i="3"/>
  <c r="D309" i="3"/>
  <c r="F309" i="3" s="1"/>
  <c r="C310" i="3" s="1"/>
  <c r="E310" i="3" l="1"/>
  <c r="G310" i="3"/>
  <c r="D310" i="3"/>
  <c r="F310" i="3" s="1"/>
  <c r="C311" i="3" s="1"/>
  <c r="D311" i="3" l="1"/>
  <c r="E311" i="3"/>
  <c r="G311" i="3"/>
  <c r="F311" i="3"/>
  <c r="C312" i="3" s="1"/>
  <c r="G312" i="3" l="1"/>
  <c r="E312" i="3"/>
  <c r="D312" i="3"/>
  <c r="F312" i="3" s="1"/>
  <c r="C313" i="3" s="1"/>
  <c r="D313" i="3" l="1"/>
  <c r="G313" i="3"/>
  <c r="E313" i="3"/>
  <c r="F313" i="3" s="1"/>
  <c r="C314" i="3" s="1"/>
  <c r="G314" i="3" l="1"/>
  <c r="E314" i="3"/>
  <c r="D314" i="3"/>
  <c r="F314" i="3" s="1"/>
  <c r="C315" i="3" s="1"/>
  <c r="E315" i="3" l="1"/>
  <c r="G315" i="3"/>
  <c r="D315" i="3"/>
  <c r="F315" i="3" s="1"/>
  <c r="C316" i="3" s="1"/>
  <c r="G316" i="3" l="1"/>
  <c r="E316" i="3"/>
  <c r="F316" i="3"/>
  <c r="C317" i="3" s="1"/>
  <c r="D316" i="3"/>
  <c r="G317" i="3" l="1"/>
  <c r="D317" i="3"/>
  <c r="F317" i="3" s="1"/>
  <c r="C318" i="3" s="1"/>
  <c r="E317" i="3"/>
  <c r="G318" i="3" l="1"/>
  <c r="F318" i="3"/>
  <c r="C319" i="3" s="1"/>
  <c r="E318" i="3"/>
  <c r="D318" i="3"/>
  <c r="E319" i="3" l="1"/>
  <c r="D319" i="3"/>
  <c r="F319" i="3" s="1"/>
  <c r="C320" i="3" s="1"/>
  <c r="G319" i="3"/>
  <c r="E320" i="3" l="1"/>
  <c r="F320" i="3" s="1"/>
  <c r="C321" i="3" s="1"/>
  <c r="D320" i="3"/>
  <c r="G320" i="3"/>
  <c r="G321" i="3" l="1"/>
  <c r="D321" i="3"/>
  <c r="F321" i="3" s="1"/>
  <c r="C322" i="3" s="1"/>
  <c r="E321" i="3"/>
  <c r="E322" i="3" l="1"/>
  <c r="D322" i="3"/>
  <c r="G322" i="3"/>
  <c r="F322" i="3"/>
  <c r="C323" i="3" s="1"/>
  <c r="F323" i="3" l="1"/>
  <c r="C324" i="3" s="1"/>
  <c r="G323" i="3"/>
  <c r="E323" i="3"/>
  <c r="D323" i="3"/>
  <c r="G324" i="3" l="1"/>
  <c r="F324" i="3"/>
  <c r="C325" i="3" s="1"/>
  <c r="E324" i="3"/>
  <c r="D324" i="3"/>
  <c r="D325" i="3" l="1"/>
  <c r="E325" i="3"/>
  <c r="G325" i="3"/>
  <c r="F325" i="3"/>
  <c r="C326" i="3" s="1"/>
  <c r="E326" i="3" l="1"/>
  <c r="D326" i="3"/>
  <c r="G326" i="3"/>
  <c r="F326" i="3"/>
  <c r="C327" i="3" s="1"/>
  <c r="F327" i="3" l="1"/>
  <c r="C328" i="3" s="1"/>
  <c r="G327" i="3"/>
  <c r="E327" i="3"/>
  <c r="D327" i="3"/>
  <c r="G328" i="3" l="1"/>
  <c r="E328" i="3"/>
  <c r="D328" i="3"/>
  <c r="F328" i="3" s="1"/>
  <c r="C329" i="3" s="1"/>
  <c r="D329" i="3" l="1"/>
  <c r="F329" i="3" s="1"/>
  <c r="C330" i="3" s="1"/>
  <c r="G329" i="3"/>
  <c r="E329" i="3"/>
  <c r="G330" i="3" l="1"/>
  <c r="E330" i="3"/>
  <c r="D330" i="3"/>
  <c r="F330" i="3" s="1"/>
  <c r="C331" i="3" s="1"/>
  <c r="F331" i="3" l="1"/>
  <c r="C332" i="3" s="1"/>
  <c r="E331" i="3"/>
  <c r="D331" i="3"/>
  <c r="G331" i="3"/>
  <c r="G332" i="3" l="1"/>
  <c r="E332" i="3"/>
  <c r="D332" i="3"/>
  <c r="F332" i="3"/>
  <c r="C333" i="3" s="1"/>
  <c r="G333" i="3" l="1"/>
  <c r="D333" i="3"/>
  <c r="E333" i="3"/>
  <c r="F333" i="3" s="1"/>
  <c r="C334" i="3" s="1"/>
  <c r="G334" i="3" l="1"/>
  <c r="D334" i="3"/>
  <c r="F334" i="3"/>
  <c r="C335" i="3" s="1"/>
  <c r="E334" i="3"/>
  <c r="F335" i="3" l="1"/>
  <c r="C336" i="3" s="1"/>
  <c r="E335" i="3"/>
  <c r="D335" i="3"/>
  <c r="G335" i="3"/>
  <c r="E336" i="3" l="1"/>
  <c r="D336" i="3"/>
  <c r="F336" i="3" s="1"/>
  <c r="C337" i="3" s="1"/>
  <c r="G336" i="3"/>
  <c r="G337" i="3" l="1"/>
  <c r="D337" i="3"/>
  <c r="F337" i="3" s="1"/>
  <c r="C338" i="3" s="1"/>
  <c r="E337" i="3"/>
  <c r="E338" i="3" l="1"/>
  <c r="D338" i="3"/>
  <c r="G338" i="3"/>
  <c r="F338" i="3"/>
  <c r="C339" i="3" s="1"/>
  <c r="G339" i="3" l="1"/>
  <c r="E339" i="3"/>
  <c r="D339" i="3"/>
  <c r="F339" i="3" s="1"/>
  <c r="C340" i="3" s="1"/>
  <c r="G340" i="3" l="1"/>
  <c r="D340" i="3"/>
  <c r="F340" i="3" s="1"/>
  <c r="C341" i="3" s="1"/>
  <c r="E340" i="3"/>
  <c r="G341" i="3" l="1"/>
  <c r="E341" i="3"/>
  <c r="D341" i="3"/>
  <c r="F341" i="3" s="1"/>
  <c r="C342" i="3" s="1"/>
  <c r="F342" i="3" l="1"/>
  <c r="C343" i="3" s="1"/>
  <c r="E342" i="3"/>
  <c r="D342" i="3"/>
  <c r="G342" i="3"/>
  <c r="G343" i="3" l="1"/>
  <c r="E343" i="3"/>
  <c r="D343" i="3"/>
  <c r="F343" i="3" s="1"/>
  <c r="C344" i="3" s="1"/>
  <c r="G344" i="3" l="1"/>
  <c r="E344" i="3"/>
  <c r="D344" i="3"/>
  <c r="F344" i="3" s="1"/>
  <c r="C345" i="3" s="1"/>
  <c r="D345" i="3" l="1"/>
  <c r="F345" i="3" s="1"/>
  <c r="C346" i="3" s="1"/>
  <c r="G345" i="3"/>
  <c r="E345" i="3"/>
  <c r="G346" i="3" l="1"/>
  <c r="E346" i="3"/>
  <c r="D346" i="3"/>
  <c r="F346" i="3"/>
  <c r="C347" i="3" s="1"/>
  <c r="E347" i="3" l="1"/>
  <c r="G347" i="3"/>
  <c r="D347" i="3"/>
  <c r="F347" i="3" s="1"/>
  <c r="C348" i="3" s="1"/>
  <c r="G348" i="3" l="1"/>
  <c r="E348" i="3"/>
  <c r="D348" i="3"/>
  <c r="F348" i="3" s="1"/>
  <c r="C349" i="3" s="1"/>
  <c r="G349" i="3" l="1"/>
  <c r="E349" i="3"/>
  <c r="D349" i="3"/>
  <c r="F349" i="3" s="1"/>
  <c r="C350" i="3" s="1"/>
  <c r="G350" i="3" l="1"/>
  <c r="E350" i="3"/>
  <c r="D350" i="3"/>
  <c r="F350" i="3" s="1"/>
  <c r="C351" i="3" s="1"/>
  <c r="G351" i="3" l="1"/>
  <c r="F351" i="3"/>
  <c r="C352" i="3" s="1"/>
  <c r="E351" i="3"/>
  <c r="D351" i="3"/>
  <c r="E352" i="3" l="1"/>
  <c r="D352" i="3"/>
  <c r="F352" i="3" s="1"/>
  <c r="C353" i="3" s="1"/>
  <c r="G352" i="3"/>
  <c r="G353" i="3" l="1"/>
  <c r="D353" i="3"/>
  <c r="F353" i="3" s="1"/>
  <c r="C354" i="3" s="1"/>
  <c r="E353" i="3"/>
  <c r="E354" i="3" l="1"/>
  <c r="D354" i="3"/>
  <c r="G354" i="3"/>
  <c r="F354" i="3"/>
  <c r="C355" i="3" s="1"/>
  <c r="G355" i="3" l="1"/>
  <c r="D355" i="3"/>
  <c r="F355" i="3" s="1"/>
  <c r="C356" i="3" s="1"/>
  <c r="E355" i="3"/>
  <c r="G356" i="3" l="1"/>
  <c r="D356" i="3"/>
  <c r="F356" i="3" s="1"/>
  <c r="C357" i="3" s="1"/>
  <c r="E356" i="3"/>
  <c r="D357" i="3" l="1"/>
  <c r="F357" i="3" s="1"/>
  <c r="C358" i="3" s="1"/>
  <c r="G357" i="3"/>
  <c r="E357" i="3"/>
  <c r="E358" i="3" l="1"/>
  <c r="D358" i="3"/>
  <c r="F358" i="3" s="1"/>
  <c r="C359" i="3" s="1"/>
  <c r="G358" i="3"/>
  <c r="E359" i="3" l="1"/>
  <c r="G359" i="3"/>
  <c r="D359" i="3"/>
  <c r="F359" i="3" s="1"/>
  <c r="C360" i="3" s="1"/>
  <c r="G360" i="3" l="1"/>
  <c r="E360" i="3"/>
  <c r="D360" i="3"/>
  <c r="F360" i="3" s="1"/>
  <c r="C361" i="3" s="1"/>
  <c r="D361" i="3" l="1"/>
  <c r="F361" i="3"/>
  <c r="C362" i="3" s="1"/>
  <c r="E361" i="3"/>
  <c r="G361" i="3"/>
  <c r="G362" i="3" l="1"/>
  <c r="E362" i="3"/>
  <c r="D362" i="3"/>
  <c r="F362" i="3" s="1"/>
  <c r="C363" i="3" s="1"/>
  <c r="E363" i="3" l="1"/>
  <c r="D363" i="3"/>
  <c r="F363" i="3" s="1"/>
  <c r="C364" i="3" s="1"/>
  <c r="G363" i="3"/>
  <c r="G364" i="3" l="1"/>
  <c r="E364" i="3"/>
  <c r="D364" i="3"/>
  <c r="F364" i="3"/>
  <c r="C365" i="3" s="1"/>
  <c r="G365" i="3" l="1"/>
  <c r="E365" i="3"/>
  <c r="D365" i="3"/>
  <c r="F365" i="3" s="1"/>
  <c r="C366" i="3" s="1"/>
  <c r="E366" i="3" l="1"/>
  <c r="D366" i="3"/>
  <c r="F366" i="3"/>
  <c r="C367" i="3" s="1"/>
  <c r="G366" i="3"/>
  <c r="G367" i="3" l="1"/>
  <c r="E367" i="3"/>
  <c r="D367" i="3"/>
  <c r="F367" i="3" s="1"/>
  <c r="C368" i="3" s="1"/>
  <c r="G368" i="3" l="1"/>
  <c r="E368" i="3"/>
  <c r="D368" i="3"/>
  <c r="F368" i="3" s="1"/>
  <c r="C369" i="3" s="1"/>
  <c r="G369" i="3" l="1"/>
  <c r="F369" i="3"/>
  <c r="C370" i="3" s="1"/>
  <c r="E369" i="3"/>
  <c r="D369" i="3"/>
  <c r="E370" i="3" l="1"/>
  <c r="D370" i="3"/>
  <c r="F370" i="3" s="1"/>
  <c r="C371" i="3" s="1"/>
  <c r="G370" i="3"/>
  <c r="G371" i="3" l="1"/>
  <c r="E371" i="3"/>
  <c r="D371" i="3"/>
  <c r="F371" i="3" s="1"/>
  <c r="C372" i="3" s="1"/>
  <c r="G372" i="3" l="1"/>
  <c r="E372" i="3"/>
  <c r="D372" i="3"/>
  <c r="F372" i="3" s="1"/>
  <c r="D6" i="3" s="1"/>
  <c r="A9" i="3" l="1"/>
  <c r="F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<sst xmlns="http://schemas.openxmlformats.org/spreadsheetml/2006/main" count="60" uniqueCount="42">
  <si>
    <t>Proyección de ahorro a 17 años</t>
  </si>
  <si>
    <t>Capitalización mensual con aporte al final de cada mes</t>
  </si>
  <si>
    <t>SUPUESTOS EDITABLES</t>
  </si>
  <si>
    <t>Capital inicial</t>
  </si>
  <si>
    <t>Ahorro mensual</t>
  </si>
  <si>
    <t>Tasa anual</t>
  </si>
  <si>
    <t>Plazo (años)</t>
  </si>
  <si>
    <t>Saldo final</t>
  </si>
  <si>
    <t>Interés acumulado</t>
  </si>
  <si>
    <t>EVOLUCIÓN MES A MES</t>
  </si>
  <si>
    <t>Mes</t>
  </si>
  <si>
    <t>Año</t>
  </si>
  <si>
    <t>Saldo inicial</t>
  </si>
  <si>
    <t>Interés del mes</t>
  </si>
  <si>
    <t>Aporte</t>
  </si>
  <si>
    <t>Ahorro total</t>
  </si>
  <si>
    <t>Cálculo</t>
  </si>
  <si>
    <t>Plan mensual de retiros</t>
  </si>
  <si>
    <t>Interés sobre el saldo inicial del mes; retiro realizado al final del mes</t>
  </si>
  <si>
    <t>Ahorro inicial</t>
  </si>
  <si>
    <t>Retiro mensual</t>
  </si>
  <si>
    <t>Se agota en el mes</t>
  </si>
  <si>
    <t>Equivalente en años</t>
  </si>
  <si>
    <t>Retiro</t>
  </si>
  <si>
    <t>Estado</t>
  </si>
  <si>
    <t>Planificación de ahorro y retiro</t>
  </si>
  <si>
    <t>Modelos flexibles para acumulación, retiros y capital objetivo</t>
  </si>
  <si>
    <t>HOJA</t>
  </si>
  <si>
    <t>DESCRIPCIÓN</t>
  </si>
  <si>
    <t>Proyección</t>
  </si>
  <si>
    <t>Evolución mensual de los ahorros y aportes durante 17 años.</t>
  </si>
  <si>
    <t>Duración de un capital inicial con retiros mensuales y rendimiento.</t>
  </si>
  <si>
    <t>Magic Number</t>
  </si>
  <si>
    <t>Capital necesario para financiar un retiro mensual durante el plazo elegido.</t>
  </si>
  <si>
    <t>Los campos amarillos son editables; los resultados y cronogramas se recalculan automáticamente.</t>
  </si>
  <si>
    <t>Magic Number para el retiro</t>
  </si>
  <si>
    <t>Capital necesario hoy para sostener retiros al final de cada mes</t>
  </si>
  <si>
    <t>Años de retiro</t>
  </si>
  <si>
    <t>Rendimiento anual</t>
  </si>
  <si>
    <t>CAPITAL NECESARIO</t>
  </si>
  <si>
    <t>COMPROBACIÓN MES A MES</t>
  </si>
  <si>
    <t>Interés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</si>
</sst>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\ &quot;meses&quot;"/>
    <numFmt numFmtId="166" formatCode="0.0\ &quot;años&quot;"/>
  </numFmts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i/>
      <sz val="10"/>
      <color theme="1"/>
      <name val="Arial"/>
      <family val="2"/>
    </font>
    <font>
      <i/>
      <sz val="10"/>
      <color rgb="FF666666"/>
      <name val="Arial"/>
      <family val="2"/>
    </font>
    <font>
      <b/>
      <sz val="20"/>
      <color theme="1"/>
      <name val="Arial"/>
      <family val="2"/>
    </font>
    <font>
      <i/>
      <sz val="10"/>
      <color rgb="FF555555"/>
      <name val="Arial"/>
      <family val="2"/>
    </font>
    <font>
      <b/>
      <sz val="20"/>
      <color rgb="FFFFFFFF"/>
      <name val="Arial"/>
      <family val="2"/>
    </font>
    <font>
      <b/>
      <sz val="10"/>
      <color rgb="FF2F75B5"/>
      <name val="Arial"/>
      <family val="2"/>
    </font>
    <font>
      <sz val="10"/>
      <color rgb="FF444444"/>
      <name val="Arial"/>
      <family val="2"/>
    </font>
    <font>
      <b/>
      <sz val="2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6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A6A6A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0" xfId="0" applyFont="1" applyFill="1"/>
    <xf numFmtId="0" fontId="5" fillId="0" borderId="0" xfId="0" applyFont="1"/>
    <xf numFmtId="0" fontId="2" fillId="3" borderId="0" xfId="0" applyFont="1" applyFill="1"/>
    <xf numFmtId="0" fontId="1" fillId="0" borderId="0" xfId="0" applyFont="1"/>
    <xf numFmtId="164" fontId="0" fillId="4" borderId="0" xfId="0" applyNumberFormat="1" applyFill="1"/>
    <xf numFmtId="10" fontId="0" fillId="4" borderId="0" xfId="0" applyNumberFormat="1" applyFill="1"/>
    <xf numFmtId="1" fontId="0" fillId="4" borderId="0" xfId="0" applyNumberFormat="1" applyFill="1"/>
    <xf numFmtId="164" fontId="0" fillId="4" borderId="0" xfId="0" applyNumberFormat="1" applyFill="1" applyBorder="1"/>
    <xf numFmtId="10" fontId="0" fillId="4" borderId="0" xfId="0" applyNumberFormat="1" applyFill="1" applyBorder="1"/>
    <xf numFmtId="1" fontId="0" fillId="4" borderId="1" xfId="0" applyNumberFormat="1" applyFill="1" applyBorder="1"/>
    <xf numFmtId="0" fontId="1" fillId="5" borderId="0" xfId="0" applyFont="1" applyFill="1"/>
    <xf numFmtId="0" fontId="6" fillId="0" borderId="0" xfId="0" applyFont="1"/>
    <xf numFmtId="164" fontId="6" fillId="0" borderId="0" xfId="0" applyNumberFormat="1" applyFont="1"/>
    <xf numFmtId="0" fontId="2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right"/>
    </xf>
    <xf numFmtId="0" fontId="0" fillId="0" borderId="3" xfId="0" applyBorder="1" applyAlignment="1">
      <alignment wrapText="1"/>
    </xf>
    <xf numFmtId="1" fontId="0" fillId="7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right"/>
    </xf>
    <xf numFmtId="0" fontId="0" fillId="7" borderId="2" xfId="0" applyFill="1" applyBorder="1" applyAlignment="1">
      <alignment wrapText="1"/>
    </xf>
    <xf numFmtId="1" fontId="0" fillId="7" borderId="3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right"/>
    </xf>
    <xf numFmtId="0" fontId="0" fillId="7" borderId="3" xfId="0" applyFill="1" applyBorder="1" applyAlignment="1">
      <alignment wrapText="1"/>
    </xf>
    <xf numFmtId="1" fontId="0" fillId="7" borderId="4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right"/>
    </xf>
    <xf numFmtId="0" fontId="0" fillId="7" borderId="4" xfId="0" applyFill="1" applyBorder="1" applyAlignment="1">
      <alignment wrapText="1"/>
    </xf>
    <xf numFmtId="165" fontId="6" fillId="0" borderId="0" xfId="0" applyNumberFormat="1" applyFont="1"/>
    <xf numFmtId="166" fontId="6" fillId="0" borderId="0" xfId="0" applyNumberFormat="1" applyFont="1"/>
    <xf numFmtId="0" fontId="7" fillId="0" borderId="0" xfId="0" applyFont="1" applyAlignment="1">
      <alignment wrapText="1"/>
    </xf>
    <xf numFmtId="0" fontId="0" fillId="0" borderId="0" xfId="0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right"/>
    </xf>
    <xf numFmtId="0" fontId="0" fillId="7" borderId="0" xfId="0" applyFill="1" applyAlignment="1">
      <alignment horizontal="center"/>
    </xf>
    <xf numFmtId="0" fontId="8" fillId="2" borderId="0" xfId="0" applyFont="1" applyFill="1"/>
    <xf numFmtId="0" fontId="2" fillId="3" borderId="0" xfId="0" applyFont="1" applyFill="1"/>
    <xf numFmtId="0" fontId="9" fillId="0" borderId="0" xfId="0" applyFont="1"/>
    <xf numFmtId="0" fontId="10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1" fillId="5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A8B6-0210-4F4E-BA56-338AF3996F53}">
  <dimension ref="A1:H10"/>
  <sheetViews>
    <sheetView workbookViewId="0">
      <selection sqref="A1:H2"/>
    </sheetView>
  </sheetViews>
  <sheetFormatPr defaultRowHeight="12.75" x14ac:dyDescent="0.2"/>
  <cols>
    <col min="1" max="1" width="38.140625" customWidth="1"/>
    <col min="2" max="2" width="66.7109375" customWidth="1"/>
    <col min="3" max="8" width="10.42578125" customWidth="1"/>
  </cols>
  <sheetData>
    <row r="1" spans="1:8" x14ac:dyDescent="0.2">
      <c r="A1" s="42" t="s">
        <v>25</v>
      </c>
      <c r="B1" s="42"/>
      <c r="C1" s="42"/>
      <c r="D1" s="42"/>
      <c r="E1" s="42"/>
      <c r="F1" s="42"/>
      <c r="G1" s="42"/>
      <c r="H1" s="42"/>
    </row>
    <row r="2" spans="1:8" x14ac:dyDescent="0.2">
      <c r="A2" s="42"/>
      <c r="B2" s="42"/>
      <c r="C2" s="42"/>
      <c r="D2" s="42"/>
      <c r="E2" s="42"/>
      <c r="F2" s="42"/>
      <c r="G2" s="42"/>
      <c r="H2" s="42"/>
    </row>
    <row r="3" spans="1:8" x14ac:dyDescent="0.2">
      <c r="A3" s="2" t="s">
        <v>26</v>
      </c>
      <c r="B3" s="2"/>
      <c r="C3" s="2"/>
      <c r="D3" s="2"/>
      <c r="E3" s="2"/>
      <c r="F3" s="2"/>
      <c r="G3" s="2"/>
      <c r="H3" s="2"/>
    </row>
    <row r="5" spans="1:8" x14ac:dyDescent="0.2">
      <c r="A5" s="43" t="s">
        <v>27</v>
      </c>
      <c r="B5" s="43" t="s">
        <v>28</v>
      </c>
    </row>
    <row r="6" spans="1:8" x14ac:dyDescent="0.2">
      <c r="A6" s="44" t="s">
        <v>29</v>
      </c>
      <c r="B6" s="45" t="s">
        <v>30</v>
      </c>
    </row>
    <row r="7" spans="1:8" x14ac:dyDescent="0.2">
      <c r="A7" s="44" t="s">
        <v>23</v>
      </c>
      <c r="B7" s="45" t="s">
        <v>31</v>
      </c>
    </row>
    <row r="8" spans="1:8" x14ac:dyDescent="0.2">
      <c r="A8" s="44" t="s">
        <v>32</v>
      </c>
      <c r="B8" s="45" t="s">
        <v>33</v>
      </c>
    </row>
    <row r="10" spans="1:8" x14ac:dyDescent="0.2">
      <c r="A10" s="46" t="s">
        <v>34</v>
      </c>
      <c r="B10" s="46"/>
    </row>
  </sheetData>
  <mergeCells count="3">
    <mergeCell ref="A1:H2"/>
    <mergeCell ref="A3:H3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557F-B87D-49B9-B62E-B00BDC0BF9BB}">
  <sheetPr>
    <tabColor theme="5"/>
  </sheetPr>
  <dimension ref="A1:G216"/>
  <sheetViews>
    <sheetView workbookViewId="0">
      <selection activeCell="G49" sqref="G49"/>
    </sheetView>
  </sheetViews>
  <sheetFormatPr defaultRowHeight="12.75" x14ac:dyDescent="0.2"/>
  <cols>
    <col min="1" max="2" width="13.28515625" customWidth="1"/>
    <col min="3" max="5" width="19" customWidth="1"/>
    <col min="6" max="6" width="26.28515625" customWidth="1"/>
    <col min="7" max="7" width="38.140625" customWidth="1"/>
  </cols>
  <sheetData>
    <row r="1" spans="1:7" ht="23.25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1</v>
      </c>
      <c r="B2" s="2"/>
      <c r="C2" s="2"/>
      <c r="D2" s="2"/>
      <c r="E2" s="2"/>
      <c r="F2" s="2"/>
      <c r="G2" s="2"/>
    </row>
    <row r="4" spans="1:7" x14ac:dyDescent="0.2">
      <c r="A4" s="3" t="s">
        <v>2</v>
      </c>
      <c r="B4" s="3"/>
      <c r="C4" s="3"/>
      <c r="D4" s="3"/>
      <c r="E4" s="3"/>
      <c r="F4" s="3"/>
      <c r="G4" s="3"/>
    </row>
    <row r="5" spans="1:7" x14ac:dyDescent="0.2">
      <c r="A5" s="4" t="s">
        <v>3</v>
      </c>
      <c r="B5" s="8">
        <v>50000</v>
      </c>
      <c r="D5" s="11" t="s">
        <v>7</v>
      </c>
      <c r="E5" s="11"/>
      <c r="F5" s="11" t="s">
        <v>8</v>
      </c>
      <c r="G5" s="11"/>
    </row>
    <row r="6" spans="1:7" ht="26.25" x14ac:dyDescent="0.4">
      <c r="A6" s="4" t="s">
        <v>4</v>
      </c>
      <c r="B6" s="8">
        <v>500</v>
      </c>
      <c r="D6" s="13" cm="1">
        <f t="array" ref="D6">INDEX(F:F,12+B8*12)</f>
        <v>180615.26351387682</v>
      </c>
      <c r="E6" s="12"/>
      <c r="F6" s="13">
        <f>D6-(B5+B6*B8*12)</f>
        <v>28615.263513876824</v>
      </c>
      <c r="G6" s="12"/>
    </row>
    <row r="7" spans="1:7" x14ac:dyDescent="0.2">
      <c r="A7" s="4" t="s">
        <v>5</v>
      </c>
      <c r="B7" s="9">
        <v>1.4999999999999999E-2</v>
      </c>
    </row>
    <row r="8" spans="1:7" x14ac:dyDescent="0.2">
      <c r="A8" s="4" t="s">
        <v>6</v>
      </c>
      <c r="B8" s="10">
        <v>17</v>
      </c>
    </row>
    <row r="10" spans="1:7" x14ac:dyDescent="0.2">
      <c r="A10" s="3" t="s">
        <v>9</v>
      </c>
      <c r="B10" s="3"/>
      <c r="C10" s="3"/>
      <c r="D10" s="3"/>
      <c r="E10" s="3"/>
      <c r="F10" s="3"/>
      <c r="G10" s="3"/>
    </row>
    <row r="11" spans="1:7" x14ac:dyDescent="0.2">
      <c r="A11" s="14" t="s">
        <v>10</v>
      </c>
      <c r="B11" s="14" t="s">
        <v>11</v>
      </c>
      <c r="C11" s="14" t="s">
        <v>12</v>
      </c>
      <c r="D11" s="14" t="s">
        <v>13</v>
      </c>
      <c r="E11" s="14" t="s">
        <v>14</v>
      </c>
      <c r="F11" s="14" t="s">
        <v>15</v>
      </c>
      <c r="G11" s="14" t="s">
        <v>16</v>
      </c>
    </row>
    <row r="12" spans="1:7" x14ac:dyDescent="0.2">
      <c r="A12" s="22">
        <v>0</v>
      </c>
      <c r="B12" s="23">
        <v>0</v>
      </c>
      <c r="C12" s="24">
        <f>$B$5</f>
        <v>50000</v>
      </c>
      <c r="D12" s="24">
        <v>0</v>
      </c>
      <c r="E12" s="24">
        <v>0</v>
      </c>
      <c r="F12" s="24">
        <f>$B$5</f>
        <v>50000</v>
      </c>
      <c r="G12" s="25" t="s">
        <v>3</v>
      </c>
    </row>
    <row r="13" spans="1:7" x14ac:dyDescent="0.2">
      <c r="A13" s="18">
        <f>A12+1</f>
        <v>1</v>
      </c>
      <c r="B13" s="19">
        <f>A13/12</f>
        <v>8.3333333333333329E-2</v>
      </c>
      <c r="C13" s="20">
        <f>F12</f>
        <v>50000</v>
      </c>
      <c r="D13" s="20">
        <f>C13*$B$7/12</f>
        <v>62.5</v>
      </c>
      <c r="E13" s="20">
        <f>$B$6</f>
        <v>500</v>
      </c>
      <c r="F13" s="20">
        <f>C13+D13+E13</f>
        <v>50562.5</v>
      </c>
      <c r="G13" s="21" t="str">
        <f>TEXT(C13,"$#,##0.00")&amp;" + "&amp;TEXT(D13,"$#,##0.00")&amp;" + "&amp;TEXT(E13,"$#,##0.00")</f>
        <v>$50,000.00 + $62.50 + $500.00</v>
      </c>
    </row>
    <row r="14" spans="1:7" x14ac:dyDescent="0.2">
      <c r="A14" s="26">
        <f t="shared" ref="A14:A77" si="0">A13+1</f>
        <v>2</v>
      </c>
      <c r="B14" s="27">
        <f t="shared" ref="B14:B77" si="1">A14/12</f>
        <v>0.16666666666666666</v>
      </c>
      <c r="C14" s="28">
        <f t="shared" ref="C14:C77" si="2">F13</f>
        <v>50562.5</v>
      </c>
      <c r="D14" s="28">
        <f t="shared" ref="D14:D77" si="3">C14*$B$7/12</f>
        <v>63.203125</v>
      </c>
      <c r="E14" s="28">
        <f t="shared" ref="E14:E77" si="4">$B$6</f>
        <v>500</v>
      </c>
      <c r="F14" s="28">
        <f t="shared" ref="F14:F77" si="5">C14+D14+E14</f>
        <v>51125.703125</v>
      </c>
      <c r="G14" s="29" t="str">
        <f t="shared" ref="G14:G77" si="6">TEXT(C14,"$#,##0.00")&amp;" + "&amp;TEXT(D14,"$#,##0.00")&amp;" + "&amp;TEXT(E14,"$#,##0.00")</f>
        <v>$50,562.50 + $63.20 + $500.00</v>
      </c>
    </row>
    <row r="15" spans="1:7" x14ac:dyDescent="0.2">
      <c r="A15" s="18">
        <f t="shared" si="0"/>
        <v>3</v>
      </c>
      <c r="B15" s="19">
        <f t="shared" si="1"/>
        <v>0.25</v>
      </c>
      <c r="C15" s="20">
        <f t="shared" si="2"/>
        <v>51125.703125</v>
      </c>
      <c r="D15" s="20">
        <f t="shared" si="3"/>
        <v>63.907128906249994</v>
      </c>
      <c r="E15" s="20">
        <f t="shared" si="4"/>
        <v>500</v>
      </c>
      <c r="F15" s="20">
        <f t="shared" si="5"/>
        <v>51689.610253906249</v>
      </c>
      <c r="G15" s="21" t="str">
        <f t="shared" si="6"/>
        <v>$51,125.70 + $63.91 + $500.00</v>
      </c>
    </row>
    <row r="16" spans="1:7" x14ac:dyDescent="0.2">
      <c r="A16" s="26">
        <f t="shared" si="0"/>
        <v>4</v>
      </c>
      <c r="B16" s="27">
        <f t="shared" si="1"/>
        <v>0.33333333333333331</v>
      </c>
      <c r="C16" s="28">
        <f t="shared" si="2"/>
        <v>51689.610253906249</v>
      </c>
      <c r="D16" s="28">
        <f t="shared" si="3"/>
        <v>64.612012817382805</v>
      </c>
      <c r="E16" s="28">
        <f t="shared" si="4"/>
        <v>500</v>
      </c>
      <c r="F16" s="28">
        <f t="shared" si="5"/>
        <v>52254.222266723635</v>
      </c>
      <c r="G16" s="29" t="str">
        <f t="shared" si="6"/>
        <v>$51,689.61 + $64.61 + $500.00</v>
      </c>
    </row>
    <row r="17" spans="1:7" x14ac:dyDescent="0.2">
      <c r="A17" s="18">
        <f t="shared" si="0"/>
        <v>5</v>
      </c>
      <c r="B17" s="19">
        <f t="shared" si="1"/>
        <v>0.41666666666666669</v>
      </c>
      <c r="C17" s="20">
        <f t="shared" si="2"/>
        <v>52254.222266723635</v>
      </c>
      <c r="D17" s="20">
        <f t="shared" si="3"/>
        <v>65.317777833404548</v>
      </c>
      <c r="E17" s="20">
        <f t="shared" si="4"/>
        <v>500</v>
      </c>
      <c r="F17" s="20">
        <f t="shared" si="5"/>
        <v>52819.540044557041</v>
      </c>
      <c r="G17" s="21" t="str">
        <f t="shared" si="6"/>
        <v>$52,254.22 + $65.32 + $500.00</v>
      </c>
    </row>
    <row r="18" spans="1:7" x14ac:dyDescent="0.2">
      <c r="A18" s="26">
        <f t="shared" si="0"/>
        <v>6</v>
      </c>
      <c r="B18" s="27">
        <f t="shared" si="1"/>
        <v>0.5</v>
      </c>
      <c r="C18" s="28">
        <f t="shared" si="2"/>
        <v>52819.540044557041</v>
      </c>
      <c r="D18" s="28">
        <f t="shared" si="3"/>
        <v>66.024425055696298</v>
      </c>
      <c r="E18" s="28">
        <f t="shared" si="4"/>
        <v>500</v>
      </c>
      <c r="F18" s="28">
        <f t="shared" si="5"/>
        <v>53385.564469612735</v>
      </c>
      <c r="G18" s="29" t="str">
        <f t="shared" si="6"/>
        <v>$52,819.54 + $66.02 + $500.00</v>
      </c>
    </row>
    <row r="19" spans="1:7" x14ac:dyDescent="0.2">
      <c r="A19" s="18">
        <f t="shared" si="0"/>
        <v>7</v>
      </c>
      <c r="B19" s="19">
        <f t="shared" si="1"/>
        <v>0.58333333333333337</v>
      </c>
      <c r="C19" s="20">
        <f t="shared" si="2"/>
        <v>53385.564469612735</v>
      </c>
      <c r="D19" s="20">
        <f t="shared" si="3"/>
        <v>66.731955587015918</v>
      </c>
      <c r="E19" s="20">
        <f t="shared" si="4"/>
        <v>500</v>
      </c>
      <c r="F19" s="20">
        <f t="shared" si="5"/>
        <v>53952.296425199747</v>
      </c>
      <c r="G19" s="21" t="str">
        <f t="shared" si="6"/>
        <v>$53,385.56 + $66.73 + $500.00</v>
      </c>
    </row>
    <row r="20" spans="1:7" x14ac:dyDescent="0.2">
      <c r="A20" s="26">
        <f t="shared" si="0"/>
        <v>8</v>
      </c>
      <c r="B20" s="27">
        <f t="shared" si="1"/>
        <v>0.66666666666666663</v>
      </c>
      <c r="C20" s="28">
        <f t="shared" si="2"/>
        <v>53952.296425199747</v>
      </c>
      <c r="D20" s="28">
        <f t="shared" si="3"/>
        <v>67.440370531499681</v>
      </c>
      <c r="E20" s="28">
        <f t="shared" si="4"/>
        <v>500</v>
      </c>
      <c r="F20" s="28">
        <f t="shared" si="5"/>
        <v>54519.736795731245</v>
      </c>
      <c r="G20" s="29" t="str">
        <f t="shared" si="6"/>
        <v>$53,952.30 + $67.44 + $500.00</v>
      </c>
    </row>
    <row r="21" spans="1:7" x14ac:dyDescent="0.2">
      <c r="A21" s="18">
        <f t="shared" si="0"/>
        <v>9</v>
      </c>
      <c r="B21" s="19">
        <f t="shared" si="1"/>
        <v>0.75</v>
      </c>
      <c r="C21" s="20">
        <f t="shared" si="2"/>
        <v>54519.736795731245</v>
      </c>
      <c r="D21" s="20">
        <f t="shared" si="3"/>
        <v>68.149670994664049</v>
      </c>
      <c r="E21" s="20">
        <f t="shared" si="4"/>
        <v>500</v>
      </c>
      <c r="F21" s="20">
        <f t="shared" si="5"/>
        <v>55087.886466725911</v>
      </c>
      <c r="G21" s="21" t="str">
        <f t="shared" si="6"/>
        <v>$54,519.74 + $68.15 + $500.00</v>
      </c>
    </row>
    <row r="22" spans="1:7" x14ac:dyDescent="0.2">
      <c r="A22" s="26">
        <f t="shared" si="0"/>
        <v>10</v>
      </c>
      <c r="B22" s="27">
        <f t="shared" si="1"/>
        <v>0.83333333333333337</v>
      </c>
      <c r="C22" s="28">
        <f t="shared" si="2"/>
        <v>55087.886466725911</v>
      </c>
      <c r="D22" s="28">
        <f t="shared" si="3"/>
        <v>68.859858083407389</v>
      </c>
      <c r="E22" s="28">
        <f t="shared" si="4"/>
        <v>500</v>
      </c>
      <c r="F22" s="28">
        <f t="shared" si="5"/>
        <v>55656.746324809319</v>
      </c>
      <c r="G22" s="29" t="str">
        <f t="shared" si="6"/>
        <v>$55,087.89 + $68.86 + $500.00</v>
      </c>
    </row>
    <row r="23" spans="1:7" x14ac:dyDescent="0.2">
      <c r="A23" s="18">
        <f t="shared" si="0"/>
        <v>11</v>
      </c>
      <c r="B23" s="19">
        <f t="shared" si="1"/>
        <v>0.91666666666666663</v>
      </c>
      <c r="C23" s="20">
        <f t="shared" si="2"/>
        <v>55656.746324809319</v>
      </c>
      <c r="D23" s="20">
        <f t="shared" si="3"/>
        <v>69.570932906011649</v>
      </c>
      <c r="E23" s="20">
        <f t="shared" si="4"/>
        <v>500</v>
      </c>
      <c r="F23" s="20">
        <f t="shared" si="5"/>
        <v>56226.317257715331</v>
      </c>
      <c r="G23" s="21" t="str">
        <f t="shared" si="6"/>
        <v>$55,656.75 + $69.57 + $500.00</v>
      </c>
    </row>
    <row r="24" spans="1:7" x14ac:dyDescent="0.2">
      <c r="A24" s="26">
        <f t="shared" si="0"/>
        <v>12</v>
      </c>
      <c r="B24" s="27">
        <f t="shared" si="1"/>
        <v>1</v>
      </c>
      <c r="C24" s="28">
        <f t="shared" si="2"/>
        <v>56226.317257715331</v>
      </c>
      <c r="D24" s="28">
        <f t="shared" si="3"/>
        <v>70.282896572144168</v>
      </c>
      <c r="E24" s="28">
        <f t="shared" si="4"/>
        <v>500</v>
      </c>
      <c r="F24" s="28">
        <f t="shared" si="5"/>
        <v>56796.600154287473</v>
      </c>
      <c r="G24" s="29" t="str">
        <f t="shared" si="6"/>
        <v>$56,226.32 + $70.28 + $500.00</v>
      </c>
    </row>
    <row r="25" spans="1:7" x14ac:dyDescent="0.2">
      <c r="A25" s="18">
        <f t="shared" si="0"/>
        <v>13</v>
      </c>
      <c r="B25" s="19">
        <f t="shared" si="1"/>
        <v>1.0833333333333333</v>
      </c>
      <c r="C25" s="20">
        <f t="shared" si="2"/>
        <v>56796.600154287473</v>
      </c>
      <c r="D25" s="20">
        <f t="shared" si="3"/>
        <v>70.995750192859347</v>
      </c>
      <c r="E25" s="20">
        <f t="shared" si="4"/>
        <v>500</v>
      </c>
      <c r="F25" s="20">
        <f t="shared" si="5"/>
        <v>57367.595904480331</v>
      </c>
      <c r="G25" s="21" t="str">
        <f t="shared" si="6"/>
        <v>$56,796.60 + $71.00 + $500.00</v>
      </c>
    </row>
    <row r="26" spans="1:7" x14ac:dyDescent="0.2">
      <c r="A26" s="26">
        <f t="shared" si="0"/>
        <v>14</v>
      </c>
      <c r="B26" s="27">
        <f t="shared" si="1"/>
        <v>1.1666666666666667</v>
      </c>
      <c r="C26" s="28">
        <f t="shared" si="2"/>
        <v>57367.595904480331</v>
      </c>
      <c r="D26" s="28">
        <f t="shared" si="3"/>
        <v>71.709494880600417</v>
      </c>
      <c r="E26" s="28">
        <f t="shared" si="4"/>
        <v>500</v>
      </c>
      <c r="F26" s="28">
        <f t="shared" si="5"/>
        <v>57939.305399360928</v>
      </c>
      <c r="G26" s="29" t="str">
        <f t="shared" si="6"/>
        <v>$57,367.60 + $71.71 + $500.00</v>
      </c>
    </row>
    <row r="27" spans="1:7" x14ac:dyDescent="0.2">
      <c r="A27" s="18">
        <f t="shared" si="0"/>
        <v>15</v>
      </c>
      <c r="B27" s="19">
        <f t="shared" si="1"/>
        <v>1.25</v>
      </c>
      <c r="C27" s="20">
        <f t="shared" si="2"/>
        <v>57939.305399360928</v>
      </c>
      <c r="D27" s="20">
        <f t="shared" si="3"/>
        <v>72.424131749201152</v>
      </c>
      <c r="E27" s="20">
        <f t="shared" si="4"/>
        <v>500</v>
      </c>
      <c r="F27" s="20">
        <f t="shared" si="5"/>
        <v>58511.729531110126</v>
      </c>
      <c r="G27" s="21" t="str">
        <f t="shared" si="6"/>
        <v>$57,939.31 + $72.42 + $500.00</v>
      </c>
    </row>
    <row r="28" spans="1:7" x14ac:dyDescent="0.2">
      <c r="A28" s="26">
        <f t="shared" si="0"/>
        <v>16</v>
      </c>
      <c r="B28" s="27">
        <f t="shared" si="1"/>
        <v>1.3333333333333333</v>
      </c>
      <c r="C28" s="28">
        <f t="shared" si="2"/>
        <v>58511.729531110126</v>
      </c>
      <c r="D28" s="28">
        <f t="shared" si="3"/>
        <v>73.13966191388765</v>
      </c>
      <c r="E28" s="28">
        <f t="shared" si="4"/>
        <v>500</v>
      </c>
      <c r="F28" s="28">
        <f t="shared" si="5"/>
        <v>59084.869193024017</v>
      </c>
      <c r="G28" s="29" t="str">
        <f t="shared" si="6"/>
        <v>$58,511.73 + $73.14 + $500.00</v>
      </c>
    </row>
    <row r="29" spans="1:7" x14ac:dyDescent="0.2">
      <c r="A29" s="18">
        <f t="shared" si="0"/>
        <v>17</v>
      </c>
      <c r="B29" s="19">
        <f t="shared" si="1"/>
        <v>1.4166666666666667</v>
      </c>
      <c r="C29" s="20">
        <f t="shared" si="2"/>
        <v>59084.869193024017</v>
      </c>
      <c r="D29" s="20">
        <f t="shared" si="3"/>
        <v>73.85608649128001</v>
      </c>
      <c r="E29" s="20">
        <f t="shared" si="4"/>
        <v>500</v>
      </c>
      <c r="F29" s="20">
        <f t="shared" si="5"/>
        <v>59658.725279515296</v>
      </c>
      <c r="G29" s="21" t="str">
        <f t="shared" si="6"/>
        <v>$59,084.87 + $73.86 + $500.00</v>
      </c>
    </row>
    <row r="30" spans="1:7" x14ac:dyDescent="0.2">
      <c r="A30" s="26">
        <f t="shared" si="0"/>
        <v>18</v>
      </c>
      <c r="B30" s="27">
        <f t="shared" si="1"/>
        <v>1.5</v>
      </c>
      <c r="C30" s="28">
        <f t="shared" si="2"/>
        <v>59658.725279515296</v>
      </c>
      <c r="D30" s="28">
        <f t="shared" si="3"/>
        <v>74.573406599394119</v>
      </c>
      <c r="E30" s="28">
        <f t="shared" si="4"/>
        <v>500</v>
      </c>
      <c r="F30" s="28">
        <f t="shared" si="5"/>
        <v>60233.298686114693</v>
      </c>
      <c r="G30" s="29" t="str">
        <f t="shared" si="6"/>
        <v>$59,658.73 + $74.57 + $500.00</v>
      </c>
    </row>
    <row r="31" spans="1:7" x14ac:dyDescent="0.2">
      <c r="A31" s="18">
        <f t="shared" si="0"/>
        <v>19</v>
      </c>
      <c r="B31" s="19">
        <f t="shared" si="1"/>
        <v>1.5833333333333333</v>
      </c>
      <c r="C31" s="20">
        <f t="shared" si="2"/>
        <v>60233.298686114693</v>
      </c>
      <c r="D31" s="20">
        <f t="shared" si="3"/>
        <v>75.29162335764336</v>
      </c>
      <c r="E31" s="20">
        <f t="shared" si="4"/>
        <v>500</v>
      </c>
      <c r="F31" s="20">
        <f t="shared" si="5"/>
        <v>60808.590309472333</v>
      </c>
      <c r="G31" s="21" t="str">
        <f t="shared" si="6"/>
        <v>$60,233.30 + $75.29 + $500.00</v>
      </c>
    </row>
    <row r="32" spans="1:7" x14ac:dyDescent="0.2">
      <c r="A32" s="26">
        <f t="shared" si="0"/>
        <v>20</v>
      </c>
      <c r="B32" s="27">
        <f t="shared" si="1"/>
        <v>1.6666666666666667</v>
      </c>
      <c r="C32" s="28">
        <f t="shared" si="2"/>
        <v>60808.590309472333</v>
      </c>
      <c r="D32" s="28">
        <f t="shared" si="3"/>
        <v>76.010737886840417</v>
      </c>
      <c r="E32" s="28">
        <f t="shared" si="4"/>
        <v>500</v>
      </c>
      <c r="F32" s="28">
        <f t="shared" si="5"/>
        <v>61384.601047359174</v>
      </c>
      <c r="G32" s="29" t="str">
        <f t="shared" si="6"/>
        <v>$60,808.59 + $76.01 + $500.00</v>
      </c>
    </row>
    <row r="33" spans="1:7" x14ac:dyDescent="0.2">
      <c r="A33" s="18">
        <f t="shared" si="0"/>
        <v>21</v>
      </c>
      <c r="B33" s="19">
        <f t="shared" si="1"/>
        <v>1.75</v>
      </c>
      <c r="C33" s="20">
        <f t="shared" si="2"/>
        <v>61384.601047359174</v>
      </c>
      <c r="D33" s="20">
        <f t="shared" si="3"/>
        <v>76.730751309198965</v>
      </c>
      <c r="E33" s="20">
        <f t="shared" si="4"/>
        <v>500</v>
      </c>
      <c r="F33" s="20">
        <f t="shared" si="5"/>
        <v>61961.331798668376</v>
      </c>
      <c r="G33" s="21" t="str">
        <f t="shared" si="6"/>
        <v>$61,384.60 + $76.73 + $500.00</v>
      </c>
    </row>
    <row r="34" spans="1:7" x14ac:dyDescent="0.2">
      <c r="A34" s="26">
        <f t="shared" si="0"/>
        <v>22</v>
      </c>
      <c r="B34" s="27">
        <f t="shared" si="1"/>
        <v>1.8333333333333333</v>
      </c>
      <c r="C34" s="28">
        <f t="shared" si="2"/>
        <v>61961.331798668376</v>
      </c>
      <c r="D34" s="28">
        <f t="shared" si="3"/>
        <v>77.45166474833546</v>
      </c>
      <c r="E34" s="28">
        <f t="shared" si="4"/>
        <v>500</v>
      </c>
      <c r="F34" s="28">
        <f t="shared" si="5"/>
        <v>62538.783463416708</v>
      </c>
      <c r="G34" s="29" t="str">
        <f t="shared" si="6"/>
        <v>$61,961.33 + $77.45 + $500.00</v>
      </c>
    </row>
    <row r="35" spans="1:7" x14ac:dyDescent="0.2">
      <c r="A35" s="18">
        <f t="shared" si="0"/>
        <v>23</v>
      </c>
      <c r="B35" s="19">
        <f t="shared" si="1"/>
        <v>1.9166666666666667</v>
      </c>
      <c r="C35" s="20">
        <f t="shared" si="2"/>
        <v>62538.783463416708</v>
      </c>
      <c r="D35" s="20">
        <f t="shared" si="3"/>
        <v>78.173479329270876</v>
      </c>
      <c r="E35" s="20">
        <f t="shared" si="4"/>
        <v>500</v>
      </c>
      <c r="F35" s="20">
        <f t="shared" si="5"/>
        <v>63116.956942745979</v>
      </c>
      <c r="G35" s="21" t="str">
        <f t="shared" si="6"/>
        <v>$62,538.78 + $78.17 + $500.00</v>
      </c>
    </row>
    <row r="36" spans="1:7" x14ac:dyDescent="0.2">
      <c r="A36" s="26">
        <f t="shared" si="0"/>
        <v>24</v>
      </c>
      <c r="B36" s="27">
        <f t="shared" si="1"/>
        <v>2</v>
      </c>
      <c r="C36" s="28">
        <f t="shared" si="2"/>
        <v>63116.956942745979</v>
      </c>
      <c r="D36" s="28">
        <f t="shared" si="3"/>
        <v>78.896196178432476</v>
      </c>
      <c r="E36" s="28">
        <f t="shared" si="4"/>
        <v>500</v>
      </c>
      <c r="F36" s="28">
        <f t="shared" si="5"/>
        <v>63695.853138924409</v>
      </c>
      <c r="G36" s="29" t="str">
        <f t="shared" si="6"/>
        <v>$63,116.96 + $78.90 + $500.00</v>
      </c>
    </row>
    <row r="37" spans="1:7" x14ac:dyDescent="0.2">
      <c r="A37" s="18">
        <f t="shared" si="0"/>
        <v>25</v>
      </c>
      <c r="B37" s="19">
        <f t="shared" si="1"/>
        <v>2.0833333333333335</v>
      </c>
      <c r="C37" s="20">
        <f t="shared" si="2"/>
        <v>63695.853138924409</v>
      </c>
      <c r="D37" s="20">
        <f t="shared" si="3"/>
        <v>79.619816423655507</v>
      </c>
      <c r="E37" s="20">
        <f t="shared" si="4"/>
        <v>500</v>
      </c>
      <c r="F37" s="20">
        <f t="shared" si="5"/>
        <v>64275.472955348065</v>
      </c>
      <c r="G37" s="21" t="str">
        <f t="shared" si="6"/>
        <v>$63,695.85 + $79.62 + $500.00</v>
      </c>
    </row>
    <row r="38" spans="1:7" x14ac:dyDescent="0.2">
      <c r="A38" s="26">
        <f t="shared" si="0"/>
        <v>26</v>
      </c>
      <c r="B38" s="27">
        <f t="shared" si="1"/>
        <v>2.1666666666666665</v>
      </c>
      <c r="C38" s="28">
        <f t="shared" si="2"/>
        <v>64275.472955348065</v>
      </c>
      <c r="D38" s="28">
        <f t="shared" si="3"/>
        <v>80.344341194185077</v>
      </c>
      <c r="E38" s="28">
        <f t="shared" si="4"/>
        <v>500</v>
      </c>
      <c r="F38" s="28">
        <f t="shared" si="5"/>
        <v>64855.817296542249</v>
      </c>
      <c r="G38" s="29" t="str">
        <f t="shared" si="6"/>
        <v>$64,275.47 + $80.34 + $500.00</v>
      </c>
    </row>
    <row r="39" spans="1:7" x14ac:dyDescent="0.2">
      <c r="A39" s="18">
        <f t="shared" si="0"/>
        <v>27</v>
      </c>
      <c r="B39" s="19">
        <f t="shared" si="1"/>
        <v>2.25</v>
      </c>
      <c r="C39" s="20">
        <f t="shared" si="2"/>
        <v>64855.817296542249</v>
      </c>
      <c r="D39" s="20">
        <f t="shared" si="3"/>
        <v>81.069771620677813</v>
      </c>
      <c r="E39" s="20">
        <f t="shared" si="4"/>
        <v>500</v>
      </c>
      <c r="F39" s="20">
        <f t="shared" si="5"/>
        <v>65436.887068162927</v>
      </c>
      <c r="G39" s="21" t="str">
        <f t="shared" si="6"/>
        <v>$64,855.82 + $81.07 + $500.00</v>
      </c>
    </row>
    <row r="40" spans="1:7" x14ac:dyDescent="0.2">
      <c r="A40" s="26">
        <f t="shared" si="0"/>
        <v>28</v>
      </c>
      <c r="B40" s="27">
        <f t="shared" si="1"/>
        <v>2.3333333333333335</v>
      </c>
      <c r="C40" s="28">
        <f t="shared" si="2"/>
        <v>65436.887068162927</v>
      </c>
      <c r="D40" s="28">
        <f t="shared" si="3"/>
        <v>81.796108835203654</v>
      </c>
      <c r="E40" s="28">
        <f t="shared" si="4"/>
        <v>500</v>
      </c>
      <c r="F40" s="28">
        <f t="shared" si="5"/>
        <v>66018.683176998136</v>
      </c>
      <c r="G40" s="29" t="str">
        <f t="shared" si="6"/>
        <v>$65,436.89 + $81.80 + $500.00</v>
      </c>
    </row>
    <row r="41" spans="1:7" x14ac:dyDescent="0.2">
      <c r="A41" s="18">
        <f t="shared" si="0"/>
        <v>29</v>
      </c>
      <c r="B41" s="19">
        <f t="shared" si="1"/>
        <v>2.4166666666666665</v>
      </c>
      <c r="C41" s="20">
        <f t="shared" si="2"/>
        <v>66018.683176998136</v>
      </c>
      <c r="D41" s="20">
        <f t="shared" si="3"/>
        <v>82.523353971247658</v>
      </c>
      <c r="E41" s="20">
        <f t="shared" si="4"/>
        <v>500</v>
      </c>
      <c r="F41" s="20">
        <f t="shared" si="5"/>
        <v>66601.206530969386</v>
      </c>
      <c r="G41" s="21" t="str">
        <f t="shared" si="6"/>
        <v>$66,018.68 + $82.52 + $500.00</v>
      </c>
    </row>
    <row r="42" spans="1:7" x14ac:dyDescent="0.2">
      <c r="A42" s="26">
        <f t="shared" si="0"/>
        <v>30</v>
      </c>
      <c r="B42" s="27">
        <f t="shared" si="1"/>
        <v>2.5</v>
      </c>
      <c r="C42" s="28">
        <f t="shared" si="2"/>
        <v>66601.206530969386</v>
      </c>
      <c r="D42" s="28">
        <f t="shared" si="3"/>
        <v>83.251508163711733</v>
      </c>
      <c r="E42" s="28">
        <f t="shared" si="4"/>
        <v>500</v>
      </c>
      <c r="F42" s="28">
        <f t="shared" si="5"/>
        <v>67184.458039133096</v>
      </c>
      <c r="G42" s="29" t="str">
        <f t="shared" si="6"/>
        <v>$66,601.21 + $83.25 + $500.00</v>
      </c>
    </row>
    <row r="43" spans="1:7" x14ac:dyDescent="0.2">
      <c r="A43" s="18">
        <f t="shared" si="0"/>
        <v>31</v>
      </c>
      <c r="B43" s="19">
        <f t="shared" si="1"/>
        <v>2.5833333333333335</v>
      </c>
      <c r="C43" s="20">
        <f t="shared" si="2"/>
        <v>67184.458039133096</v>
      </c>
      <c r="D43" s="20">
        <f t="shared" si="3"/>
        <v>83.980572548916371</v>
      </c>
      <c r="E43" s="20">
        <f t="shared" si="4"/>
        <v>500</v>
      </c>
      <c r="F43" s="20">
        <f t="shared" si="5"/>
        <v>67768.43861168201</v>
      </c>
      <c r="G43" s="21" t="str">
        <f t="shared" si="6"/>
        <v>$67,184.46 + $83.98 + $500.00</v>
      </c>
    </row>
    <row r="44" spans="1:7" x14ac:dyDescent="0.2">
      <c r="A44" s="26">
        <f t="shared" si="0"/>
        <v>32</v>
      </c>
      <c r="B44" s="27">
        <f t="shared" si="1"/>
        <v>2.6666666666666665</v>
      </c>
      <c r="C44" s="28">
        <f t="shared" si="2"/>
        <v>67768.43861168201</v>
      </c>
      <c r="D44" s="28">
        <f t="shared" si="3"/>
        <v>84.710548264602508</v>
      </c>
      <c r="E44" s="28">
        <f t="shared" si="4"/>
        <v>500</v>
      </c>
      <c r="F44" s="28">
        <f t="shared" si="5"/>
        <v>68353.14915994661</v>
      </c>
      <c r="G44" s="29" t="str">
        <f t="shared" si="6"/>
        <v>$67,768.44 + $84.71 + $500.00</v>
      </c>
    </row>
    <row r="45" spans="1:7" x14ac:dyDescent="0.2">
      <c r="A45" s="18">
        <f t="shared" si="0"/>
        <v>33</v>
      </c>
      <c r="B45" s="19">
        <f t="shared" si="1"/>
        <v>2.75</v>
      </c>
      <c r="C45" s="20">
        <f t="shared" si="2"/>
        <v>68353.14915994661</v>
      </c>
      <c r="D45" s="20">
        <f t="shared" si="3"/>
        <v>85.441436449933249</v>
      </c>
      <c r="E45" s="20">
        <f t="shared" si="4"/>
        <v>500</v>
      </c>
      <c r="F45" s="20">
        <f t="shared" si="5"/>
        <v>68938.590596396549</v>
      </c>
      <c r="G45" s="21" t="str">
        <f t="shared" si="6"/>
        <v>$68,353.15 + $85.44 + $500.00</v>
      </c>
    </row>
    <row r="46" spans="1:7" x14ac:dyDescent="0.2">
      <c r="A46" s="26">
        <f t="shared" si="0"/>
        <v>34</v>
      </c>
      <c r="B46" s="27">
        <f t="shared" si="1"/>
        <v>2.8333333333333335</v>
      </c>
      <c r="C46" s="28">
        <f t="shared" si="2"/>
        <v>68938.590596396549</v>
      </c>
      <c r="D46" s="28">
        <f t="shared" si="3"/>
        <v>86.173238245495682</v>
      </c>
      <c r="E46" s="28">
        <f t="shared" si="4"/>
        <v>500</v>
      </c>
      <c r="F46" s="28">
        <f t="shared" si="5"/>
        <v>69524.763834642043</v>
      </c>
      <c r="G46" s="29" t="str">
        <f t="shared" si="6"/>
        <v>$68,938.59 + $86.17 + $500.00</v>
      </c>
    </row>
    <row r="47" spans="1:7" x14ac:dyDescent="0.2">
      <c r="A47" s="18">
        <f t="shared" si="0"/>
        <v>35</v>
      </c>
      <c r="B47" s="19">
        <f t="shared" si="1"/>
        <v>2.9166666666666665</v>
      </c>
      <c r="C47" s="20">
        <f t="shared" si="2"/>
        <v>69524.763834642043</v>
      </c>
      <c r="D47" s="20">
        <f t="shared" si="3"/>
        <v>86.905954793302556</v>
      </c>
      <c r="E47" s="20">
        <f t="shared" si="4"/>
        <v>500</v>
      </c>
      <c r="F47" s="20">
        <f t="shared" si="5"/>
        <v>70111.669789435342</v>
      </c>
      <c r="G47" s="21" t="str">
        <f t="shared" si="6"/>
        <v>$69,524.76 + $86.91 + $500.00</v>
      </c>
    </row>
    <row r="48" spans="1:7" x14ac:dyDescent="0.2">
      <c r="A48" s="26">
        <f t="shared" si="0"/>
        <v>36</v>
      </c>
      <c r="B48" s="27">
        <f t="shared" si="1"/>
        <v>3</v>
      </c>
      <c r="C48" s="28">
        <f t="shared" si="2"/>
        <v>70111.669789435342</v>
      </c>
      <c r="D48" s="28">
        <f t="shared" si="3"/>
        <v>87.639587236794171</v>
      </c>
      <c r="E48" s="28">
        <f t="shared" si="4"/>
        <v>500</v>
      </c>
      <c r="F48" s="28">
        <f t="shared" si="5"/>
        <v>70699.309376672143</v>
      </c>
      <c r="G48" s="29" t="str">
        <f t="shared" si="6"/>
        <v>$70,111.67 + $87.64 + $500.00</v>
      </c>
    </row>
    <row r="49" spans="1:7" x14ac:dyDescent="0.2">
      <c r="A49" s="18">
        <f t="shared" si="0"/>
        <v>37</v>
      </c>
      <c r="B49" s="19">
        <f t="shared" si="1"/>
        <v>3.0833333333333335</v>
      </c>
      <c r="C49" s="20">
        <f t="shared" si="2"/>
        <v>70699.309376672143</v>
      </c>
      <c r="D49" s="20">
        <f t="shared" si="3"/>
        <v>88.37413672084017</v>
      </c>
      <c r="E49" s="20">
        <f t="shared" si="4"/>
        <v>500</v>
      </c>
      <c r="F49" s="20">
        <f t="shared" si="5"/>
        <v>71287.683513392985</v>
      </c>
      <c r="G49" s="21" t="str">
        <f t="shared" si="6"/>
        <v>$70,699.31 + $88.37 + $500.00</v>
      </c>
    </row>
    <row r="50" spans="1:7" x14ac:dyDescent="0.2">
      <c r="A50" s="26">
        <f t="shared" si="0"/>
        <v>38</v>
      </c>
      <c r="B50" s="27">
        <f t="shared" si="1"/>
        <v>3.1666666666666665</v>
      </c>
      <c r="C50" s="28">
        <f t="shared" si="2"/>
        <v>71287.683513392985</v>
      </c>
      <c r="D50" s="28">
        <f t="shared" si="3"/>
        <v>89.109604391741229</v>
      </c>
      <c r="E50" s="28">
        <f t="shared" si="4"/>
        <v>500</v>
      </c>
      <c r="F50" s="28">
        <f t="shared" si="5"/>
        <v>71876.79311778472</v>
      </c>
      <c r="G50" s="29" t="str">
        <f t="shared" si="6"/>
        <v>$71,287.68 + $89.11 + $500.00</v>
      </c>
    </row>
    <row r="51" spans="1:7" x14ac:dyDescent="0.2">
      <c r="A51" s="18">
        <f t="shared" si="0"/>
        <v>39</v>
      </c>
      <c r="B51" s="19">
        <f t="shared" si="1"/>
        <v>3.25</v>
      </c>
      <c r="C51" s="20">
        <f t="shared" si="2"/>
        <v>71876.79311778472</v>
      </c>
      <c r="D51" s="20">
        <f t="shared" si="3"/>
        <v>89.84599139723089</v>
      </c>
      <c r="E51" s="20">
        <f t="shared" si="4"/>
        <v>500</v>
      </c>
      <c r="F51" s="20">
        <f t="shared" si="5"/>
        <v>72466.639109181953</v>
      </c>
      <c r="G51" s="21" t="str">
        <f t="shared" si="6"/>
        <v>$71,876.79 + $89.85 + $500.00</v>
      </c>
    </row>
    <row r="52" spans="1:7" x14ac:dyDescent="0.2">
      <c r="A52" s="26">
        <f t="shared" si="0"/>
        <v>40</v>
      </c>
      <c r="B52" s="27">
        <f t="shared" si="1"/>
        <v>3.3333333333333335</v>
      </c>
      <c r="C52" s="28">
        <f t="shared" si="2"/>
        <v>72466.639109181953</v>
      </c>
      <c r="D52" s="28">
        <f t="shared" si="3"/>
        <v>90.583298886477436</v>
      </c>
      <c r="E52" s="28">
        <f t="shared" si="4"/>
        <v>500</v>
      </c>
      <c r="F52" s="28">
        <f t="shared" si="5"/>
        <v>73057.222408068425</v>
      </c>
      <c r="G52" s="29" t="str">
        <f t="shared" si="6"/>
        <v>$72,466.64 + $90.58 + $500.00</v>
      </c>
    </row>
    <row r="53" spans="1:7" x14ac:dyDescent="0.2">
      <c r="A53" s="18">
        <f t="shared" si="0"/>
        <v>41</v>
      </c>
      <c r="B53" s="19">
        <f t="shared" si="1"/>
        <v>3.4166666666666665</v>
      </c>
      <c r="C53" s="20">
        <f t="shared" si="2"/>
        <v>73057.222408068425</v>
      </c>
      <c r="D53" s="20">
        <f t="shared" si="3"/>
        <v>91.321528010085515</v>
      </c>
      <c r="E53" s="20">
        <f t="shared" si="4"/>
        <v>500</v>
      </c>
      <c r="F53" s="20">
        <f t="shared" si="5"/>
        <v>73648.543936078509</v>
      </c>
      <c r="G53" s="21" t="str">
        <f t="shared" si="6"/>
        <v>$73,057.22 + $91.32 + $500.00</v>
      </c>
    </row>
    <row r="54" spans="1:7" x14ac:dyDescent="0.2">
      <c r="A54" s="26">
        <f t="shared" si="0"/>
        <v>42</v>
      </c>
      <c r="B54" s="27">
        <f t="shared" si="1"/>
        <v>3.5</v>
      </c>
      <c r="C54" s="28">
        <f t="shared" si="2"/>
        <v>73648.543936078509</v>
      </c>
      <c r="D54" s="28">
        <f t="shared" si="3"/>
        <v>92.060679920098138</v>
      </c>
      <c r="E54" s="28">
        <f t="shared" si="4"/>
        <v>500</v>
      </c>
      <c r="F54" s="28">
        <f t="shared" si="5"/>
        <v>74240.604615998614</v>
      </c>
      <c r="G54" s="29" t="str">
        <f t="shared" si="6"/>
        <v>$73,648.54 + $92.06 + $500.00</v>
      </c>
    </row>
    <row r="55" spans="1:7" x14ac:dyDescent="0.2">
      <c r="A55" s="18">
        <f t="shared" si="0"/>
        <v>43</v>
      </c>
      <c r="B55" s="19">
        <f t="shared" si="1"/>
        <v>3.5833333333333335</v>
      </c>
      <c r="C55" s="20">
        <f t="shared" si="2"/>
        <v>74240.604615998614</v>
      </c>
      <c r="D55" s="20">
        <f t="shared" si="3"/>
        <v>92.800755769998261</v>
      </c>
      <c r="E55" s="20">
        <f t="shared" si="4"/>
        <v>500</v>
      </c>
      <c r="F55" s="20">
        <f t="shared" si="5"/>
        <v>74833.405371768618</v>
      </c>
      <c r="G55" s="21" t="str">
        <f t="shared" si="6"/>
        <v>$74,240.60 + $92.80 + $500.00</v>
      </c>
    </row>
    <row r="56" spans="1:7" x14ac:dyDescent="0.2">
      <c r="A56" s="26">
        <f t="shared" si="0"/>
        <v>44</v>
      </c>
      <c r="B56" s="27">
        <f t="shared" si="1"/>
        <v>3.6666666666666665</v>
      </c>
      <c r="C56" s="28">
        <f t="shared" si="2"/>
        <v>74833.405371768618</v>
      </c>
      <c r="D56" s="28">
        <f t="shared" si="3"/>
        <v>93.541756714710758</v>
      </c>
      <c r="E56" s="28">
        <f t="shared" si="4"/>
        <v>500</v>
      </c>
      <c r="F56" s="28">
        <f t="shared" si="5"/>
        <v>75426.947128483327</v>
      </c>
      <c r="G56" s="29" t="str">
        <f t="shared" si="6"/>
        <v>$74,833.41 + $93.54 + $500.00</v>
      </c>
    </row>
    <row r="57" spans="1:7" x14ac:dyDescent="0.2">
      <c r="A57" s="18">
        <f t="shared" si="0"/>
        <v>45</v>
      </c>
      <c r="B57" s="19">
        <f t="shared" si="1"/>
        <v>3.75</v>
      </c>
      <c r="C57" s="20">
        <f t="shared" si="2"/>
        <v>75426.947128483327</v>
      </c>
      <c r="D57" s="20">
        <f t="shared" si="3"/>
        <v>94.283683910604154</v>
      </c>
      <c r="E57" s="20">
        <f t="shared" si="4"/>
        <v>500</v>
      </c>
      <c r="F57" s="20">
        <f t="shared" si="5"/>
        <v>76021.230812393929</v>
      </c>
      <c r="G57" s="21" t="str">
        <f t="shared" si="6"/>
        <v>$75,426.95 + $94.28 + $500.00</v>
      </c>
    </row>
    <row r="58" spans="1:7" x14ac:dyDescent="0.2">
      <c r="A58" s="26">
        <f t="shared" si="0"/>
        <v>46</v>
      </c>
      <c r="B58" s="27">
        <f t="shared" si="1"/>
        <v>3.8333333333333335</v>
      </c>
      <c r="C58" s="28">
        <f t="shared" si="2"/>
        <v>76021.230812393929</v>
      </c>
      <c r="D58" s="28">
        <f t="shared" si="3"/>
        <v>95.026538515492405</v>
      </c>
      <c r="E58" s="28">
        <f t="shared" si="4"/>
        <v>500</v>
      </c>
      <c r="F58" s="28">
        <f t="shared" si="5"/>
        <v>76616.257350909422</v>
      </c>
      <c r="G58" s="29" t="str">
        <f t="shared" si="6"/>
        <v>$76,021.23 + $95.03 + $500.00</v>
      </c>
    </row>
    <row r="59" spans="1:7" x14ac:dyDescent="0.2">
      <c r="A59" s="18">
        <f t="shared" si="0"/>
        <v>47</v>
      </c>
      <c r="B59" s="19">
        <f t="shared" si="1"/>
        <v>3.9166666666666665</v>
      </c>
      <c r="C59" s="20">
        <f t="shared" si="2"/>
        <v>76616.257350909422</v>
      </c>
      <c r="D59" s="20">
        <f t="shared" si="3"/>
        <v>95.77032168863677</v>
      </c>
      <c r="E59" s="20">
        <f t="shared" si="4"/>
        <v>500</v>
      </c>
      <c r="F59" s="20">
        <f t="shared" si="5"/>
        <v>77212.027672598066</v>
      </c>
      <c r="G59" s="21" t="str">
        <f t="shared" si="6"/>
        <v>$76,616.26 + $95.77 + $500.00</v>
      </c>
    </row>
    <row r="60" spans="1:7" x14ac:dyDescent="0.2">
      <c r="A60" s="26">
        <f t="shared" si="0"/>
        <v>48</v>
      </c>
      <c r="B60" s="27">
        <f t="shared" si="1"/>
        <v>4</v>
      </c>
      <c r="C60" s="28">
        <f t="shared" si="2"/>
        <v>77212.027672598066</v>
      </c>
      <c r="D60" s="28">
        <f t="shared" si="3"/>
        <v>96.515034590747575</v>
      </c>
      <c r="E60" s="28">
        <f t="shared" si="4"/>
        <v>500</v>
      </c>
      <c r="F60" s="28">
        <f t="shared" si="5"/>
        <v>77808.542707188812</v>
      </c>
      <c r="G60" s="29" t="str">
        <f t="shared" si="6"/>
        <v>$77,212.03 + $96.52 + $500.00</v>
      </c>
    </row>
    <row r="61" spans="1:7" x14ac:dyDescent="0.2">
      <c r="A61" s="18">
        <f t="shared" si="0"/>
        <v>49</v>
      </c>
      <c r="B61" s="19">
        <f t="shared" si="1"/>
        <v>4.083333333333333</v>
      </c>
      <c r="C61" s="20">
        <f t="shared" si="2"/>
        <v>77808.542707188812</v>
      </c>
      <c r="D61" s="20">
        <f t="shared" si="3"/>
        <v>97.260678383986019</v>
      </c>
      <c r="E61" s="20">
        <f t="shared" si="4"/>
        <v>500</v>
      </c>
      <c r="F61" s="20">
        <f t="shared" si="5"/>
        <v>78405.803385572799</v>
      </c>
      <c r="G61" s="21" t="str">
        <f t="shared" si="6"/>
        <v>$77,808.54 + $97.26 + $500.00</v>
      </c>
    </row>
    <row r="62" spans="1:7" x14ac:dyDescent="0.2">
      <c r="A62" s="26">
        <f t="shared" si="0"/>
        <v>50</v>
      </c>
      <c r="B62" s="27">
        <f t="shared" si="1"/>
        <v>4.166666666666667</v>
      </c>
      <c r="C62" s="28">
        <f t="shared" si="2"/>
        <v>78405.803385572799</v>
      </c>
      <c r="D62" s="28">
        <f t="shared" si="3"/>
        <v>98.007254231965987</v>
      </c>
      <c r="E62" s="28">
        <f t="shared" si="4"/>
        <v>500</v>
      </c>
      <c r="F62" s="28">
        <f t="shared" si="5"/>
        <v>79003.810639804768</v>
      </c>
      <c r="G62" s="29" t="str">
        <f t="shared" si="6"/>
        <v>$78,405.80 + $98.01 + $500.00</v>
      </c>
    </row>
    <row r="63" spans="1:7" x14ac:dyDescent="0.2">
      <c r="A63" s="18">
        <f t="shared" si="0"/>
        <v>51</v>
      </c>
      <c r="B63" s="19">
        <f t="shared" si="1"/>
        <v>4.25</v>
      </c>
      <c r="C63" s="20">
        <f t="shared" si="2"/>
        <v>79003.810639804768</v>
      </c>
      <c r="D63" s="20">
        <f t="shared" si="3"/>
        <v>98.75476329975595</v>
      </c>
      <c r="E63" s="20">
        <f t="shared" si="4"/>
        <v>500</v>
      </c>
      <c r="F63" s="20">
        <f t="shared" si="5"/>
        <v>79602.565403104527</v>
      </c>
      <c r="G63" s="21" t="str">
        <f t="shared" si="6"/>
        <v>$79,003.81 + $98.75 + $500.00</v>
      </c>
    </row>
    <row r="64" spans="1:7" x14ac:dyDescent="0.2">
      <c r="A64" s="26">
        <f t="shared" si="0"/>
        <v>52</v>
      </c>
      <c r="B64" s="27">
        <f t="shared" si="1"/>
        <v>4.333333333333333</v>
      </c>
      <c r="C64" s="28">
        <f t="shared" si="2"/>
        <v>79602.565403104527</v>
      </c>
      <c r="D64" s="28">
        <f t="shared" si="3"/>
        <v>99.503206753880647</v>
      </c>
      <c r="E64" s="28">
        <f t="shared" si="4"/>
        <v>500</v>
      </c>
      <c r="F64" s="28">
        <f t="shared" si="5"/>
        <v>80202.068609858412</v>
      </c>
      <c r="G64" s="29" t="str">
        <f t="shared" si="6"/>
        <v>$79,602.57 + $99.50 + $500.00</v>
      </c>
    </row>
    <row r="65" spans="1:7" x14ac:dyDescent="0.2">
      <c r="A65" s="18">
        <f t="shared" si="0"/>
        <v>53</v>
      </c>
      <c r="B65" s="19">
        <f t="shared" si="1"/>
        <v>4.416666666666667</v>
      </c>
      <c r="C65" s="20">
        <f t="shared" si="2"/>
        <v>80202.068609858412</v>
      </c>
      <c r="D65" s="20">
        <f t="shared" si="3"/>
        <v>100.25258576232301</v>
      </c>
      <c r="E65" s="20">
        <f t="shared" si="4"/>
        <v>500</v>
      </c>
      <c r="F65" s="20">
        <f t="shared" si="5"/>
        <v>80802.321195620738</v>
      </c>
      <c r="G65" s="21" t="str">
        <f t="shared" si="6"/>
        <v>$80,202.07 + $100.25 + $500.00</v>
      </c>
    </row>
    <row r="66" spans="1:7" x14ac:dyDescent="0.2">
      <c r="A66" s="26">
        <f t="shared" si="0"/>
        <v>54</v>
      </c>
      <c r="B66" s="27">
        <f t="shared" si="1"/>
        <v>4.5</v>
      </c>
      <c r="C66" s="28">
        <f t="shared" si="2"/>
        <v>80802.321195620738</v>
      </c>
      <c r="D66" s="28">
        <f t="shared" si="3"/>
        <v>101.00290149452591</v>
      </c>
      <c r="E66" s="28">
        <f t="shared" si="4"/>
        <v>500</v>
      </c>
      <c r="F66" s="28">
        <f t="shared" si="5"/>
        <v>81403.32409711527</v>
      </c>
      <c r="G66" s="29" t="str">
        <f t="shared" si="6"/>
        <v>$80,802.32 + $101.00 + $500.00</v>
      </c>
    </row>
    <row r="67" spans="1:7" x14ac:dyDescent="0.2">
      <c r="A67" s="18">
        <f t="shared" si="0"/>
        <v>55</v>
      </c>
      <c r="B67" s="19">
        <f t="shared" si="1"/>
        <v>4.583333333333333</v>
      </c>
      <c r="C67" s="20">
        <f t="shared" si="2"/>
        <v>81403.32409711527</v>
      </c>
      <c r="D67" s="20">
        <f t="shared" si="3"/>
        <v>101.75415512139409</v>
      </c>
      <c r="E67" s="20">
        <f t="shared" si="4"/>
        <v>500</v>
      </c>
      <c r="F67" s="20">
        <f t="shared" si="5"/>
        <v>82005.078252236664</v>
      </c>
      <c r="G67" s="21" t="str">
        <f t="shared" si="6"/>
        <v>$81,403.32 + $101.75 + $500.00</v>
      </c>
    </row>
    <row r="68" spans="1:7" x14ac:dyDescent="0.2">
      <c r="A68" s="26">
        <f t="shared" si="0"/>
        <v>56</v>
      </c>
      <c r="B68" s="27">
        <f t="shared" si="1"/>
        <v>4.666666666666667</v>
      </c>
      <c r="C68" s="28">
        <f t="shared" si="2"/>
        <v>82005.078252236664</v>
      </c>
      <c r="D68" s="28">
        <f t="shared" si="3"/>
        <v>102.50634781529583</v>
      </c>
      <c r="E68" s="28">
        <f t="shared" si="4"/>
        <v>500</v>
      </c>
      <c r="F68" s="28">
        <f t="shared" si="5"/>
        <v>82607.584600051967</v>
      </c>
      <c r="G68" s="29" t="str">
        <f t="shared" si="6"/>
        <v>$82,005.08 + $102.51 + $500.00</v>
      </c>
    </row>
    <row r="69" spans="1:7" x14ac:dyDescent="0.2">
      <c r="A69" s="18">
        <f t="shared" si="0"/>
        <v>57</v>
      </c>
      <c r="B69" s="19">
        <f t="shared" si="1"/>
        <v>4.75</v>
      </c>
      <c r="C69" s="20">
        <f t="shared" si="2"/>
        <v>82607.584600051967</v>
      </c>
      <c r="D69" s="20">
        <f t="shared" si="3"/>
        <v>103.25948075006495</v>
      </c>
      <c r="E69" s="20">
        <f t="shared" si="4"/>
        <v>500</v>
      </c>
      <c r="F69" s="20">
        <f t="shared" si="5"/>
        <v>83210.844080802039</v>
      </c>
      <c r="G69" s="21" t="str">
        <f t="shared" si="6"/>
        <v>$82,607.58 + $103.26 + $500.00</v>
      </c>
    </row>
    <row r="70" spans="1:7" x14ac:dyDescent="0.2">
      <c r="A70" s="26">
        <f t="shared" si="0"/>
        <v>58</v>
      </c>
      <c r="B70" s="27">
        <f t="shared" si="1"/>
        <v>4.833333333333333</v>
      </c>
      <c r="C70" s="28">
        <f t="shared" si="2"/>
        <v>83210.844080802039</v>
      </c>
      <c r="D70" s="28">
        <f t="shared" si="3"/>
        <v>104.01355510100255</v>
      </c>
      <c r="E70" s="28">
        <f t="shared" si="4"/>
        <v>500</v>
      </c>
      <c r="F70" s="28">
        <f t="shared" si="5"/>
        <v>83814.857635903041</v>
      </c>
      <c r="G70" s="29" t="str">
        <f t="shared" si="6"/>
        <v>$83,210.84 + $104.01 + $500.00</v>
      </c>
    </row>
    <row r="71" spans="1:7" x14ac:dyDescent="0.2">
      <c r="A71" s="18">
        <f t="shared" si="0"/>
        <v>59</v>
      </c>
      <c r="B71" s="19">
        <f t="shared" si="1"/>
        <v>4.916666666666667</v>
      </c>
      <c r="C71" s="20">
        <f t="shared" si="2"/>
        <v>83814.857635903041</v>
      </c>
      <c r="D71" s="20">
        <f t="shared" si="3"/>
        <v>104.76857204487879</v>
      </c>
      <c r="E71" s="20">
        <f t="shared" si="4"/>
        <v>500</v>
      </c>
      <c r="F71" s="20">
        <f t="shared" si="5"/>
        <v>84419.62620794792</v>
      </c>
      <c r="G71" s="21" t="str">
        <f t="shared" si="6"/>
        <v>$83,814.86 + $104.77 + $500.00</v>
      </c>
    </row>
    <row r="72" spans="1:7" x14ac:dyDescent="0.2">
      <c r="A72" s="26">
        <f t="shared" si="0"/>
        <v>60</v>
      </c>
      <c r="B72" s="27">
        <f t="shared" si="1"/>
        <v>5</v>
      </c>
      <c r="C72" s="28">
        <f t="shared" si="2"/>
        <v>84419.62620794792</v>
      </c>
      <c r="D72" s="28">
        <f t="shared" si="3"/>
        <v>105.5245327599349</v>
      </c>
      <c r="E72" s="28">
        <f t="shared" si="4"/>
        <v>500</v>
      </c>
      <c r="F72" s="28">
        <f t="shared" si="5"/>
        <v>85025.150740707861</v>
      </c>
      <c r="G72" s="29" t="str">
        <f t="shared" si="6"/>
        <v>$84,419.63 + $105.52 + $500.00</v>
      </c>
    </row>
    <row r="73" spans="1:7" x14ac:dyDescent="0.2">
      <c r="A73" s="18">
        <f t="shared" si="0"/>
        <v>61</v>
      </c>
      <c r="B73" s="19">
        <f t="shared" si="1"/>
        <v>5.083333333333333</v>
      </c>
      <c r="C73" s="20">
        <f t="shared" si="2"/>
        <v>85025.150740707861</v>
      </c>
      <c r="D73" s="20">
        <f t="shared" si="3"/>
        <v>106.28143842588482</v>
      </c>
      <c r="E73" s="20">
        <f t="shared" si="4"/>
        <v>500</v>
      </c>
      <c r="F73" s="20">
        <f t="shared" si="5"/>
        <v>85631.432179133742</v>
      </c>
      <c r="G73" s="21" t="str">
        <f t="shared" si="6"/>
        <v>$85,025.15 + $106.28 + $500.00</v>
      </c>
    </row>
    <row r="74" spans="1:7" x14ac:dyDescent="0.2">
      <c r="A74" s="26">
        <f t="shared" si="0"/>
        <v>62</v>
      </c>
      <c r="B74" s="27">
        <f t="shared" si="1"/>
        <v>5.166666666666667</v>
      </c>
      <c r="C74" s="28">
        <f t="shared" si="2"/>
        <v>85631.432179133742</v>
      </c>
      <c r="D74" s="28">
        <f t="shared" si="3"/>
        <v>107.03929022391718</v>
      </c>
      <c r="E74" s="28">
        <f t="shared" si="4"/>
        <v>500</v>
      </c>
      <c r="F74" s="28">
        <f t="shared" si="5"/>
        <v>86238.471469357653</v>
      </c>
      <c r="G74" s="29" t="str">
        <f t="shared" si="6"/>
        <v>$85,631.43 + $107.04 + $500.00</v>
      </c>
    </row>
    <row r="75" spans="1:7" x14ac:dyDescent="0.2">
      <c r="A75" s="18">
        <f t="shared" si="0"/>
        <v>63</v>
      </c>
      <c r="B75" s="19">
        <f t="shared" si="1"/>
        <v>5.25</v>
      </c>
      <c r="C75" s="20">
        <f t="shared" si="2"/>
        <v>86238.471469357653</v>
      </c>
      <c r="D75" s="20">
        <f t="shared" si="3"/>
        <v>107.79808933669706</v>
      </c>
      <c r="E75" s="20">
        <f t="shared" si="4"/>
        <v>500</v>
      </c>
      <c r="F75" s="20">
        <f t="shared" si="5"/>
        <v>86846.269558694345</v>
      </c>
      <c r="G75" s="21" t="str">
        <f t="shared" si="6"/>
        <v>$86,238.47 + $107.80 + $500.00</v>
      </c>
    </row>
    <row r="76" spans="1:7" x14ac:dyDescent="0.2">
      <c r="A76" s="26">
        <f t="shared" si="0"/>
        <v>64</v>
      </c>
      <c r="B76" s="27">
        <f t="shared" si="1"/>
        <v>5.333333333333333</v>
      </c>
      <c r="C76" s="28">
        <f t="shared" si="2"/>
        <v>86846.269558694345</v>
      </c>
      <c r="D76" s="28">
        <f t="shared" si="3"/>
        <v>108.55783694836794</v>
      </c>
      <c r="E76" s="28">
        <f t="shared" si="4"/>
        <v>500</v>
      </c>
      <c r="F76" s="28">
        <f t="shared" si="5"/>
        <v>87454.827395642715</v>
      </c>
      <c r="G76" s="29" t="str">
        <f t="shared" si="6"/>
        <v>$86,846.27 + $108.56 + $500.00</v>
      </c>
    </row>
    <row r="77" spans="1:7" x14ac:dyDescent="0.2">
      <c r="A77" s="18">
        <f t="shared" si="0"/>
        <v>65</v>
      </c>
      <c r="B77" s="19">
        <f t="shared" si="1"/>
        <v>5.416666666666667</v>
      </c>
      <c r="C77" s="20">
        <f t="shared" si="2"/>
        <v>87454.827395642715</v>
      </c>
      <c r="D77" s="20">
        <f t="shared" si="3"/>
        <v>109.31853424455339</v>
      </c>
      <c r="E77" s="20">
        <f t="shared" si="4"/>
        <v>500</v>
      </c>
      <c r="F77" s="20">
        <f t="shared" si="5"/>
        <v>88064.145929887265</v>
      </c>
      <c r="G77" s="21" t="str">
        <f t="shared" si="6"/>
        <v>$87,454.83 + $109.32 + $500.00</v>
      </c>
    </row>
    <row r="78" spans="1:7" x14ac:dyDescent="0.2">
      <c r="A78" s="26">
        <f t="shared" ref="A78:A141" si="7">A77+1</f>
        <v>66</v>
      </c>
      <c r="B78" s="27">
        <f t="shared" ref="B78:B141" si="8">A78/12</f>
        <v>5.5</v>
      </c>
      <c r="C78" s="28">
        <f t="shared" ref="C78:C141" si="9">F77</f>
        <v>88064.145929887265</v>
      </c>
      <c r="D78" s="28">
        <f t="shared" ref="D78:D141" si="10">C78*$B$7/12</f>
        <v>110.08018241235908</v>
      </c>
      <c r="E78" s="28">
        <f t="shared" ref="E78:E141" si="11">$B$6</f>
        <v>500</v>
      </c>
      <c r="F78" s="28">
        <f t="shared" ref="F78:F141" si="12">C78+D78+E78</f>
        <v>88674.226112299628</v>
      </c>
      <c r="G78" s="29" t="str">
        <f t="shared" ref="G78:G141" si="13">TEXT(C78,"$#,##0.00")&amp;" + "&amp;TEXT(D78,"$#,##0.00")&amp;" + "&amp;TEXT(E78,"$#,##0.00")</f>
        <v>$88,064.15 + $110.08 + $500.00</v>
      </c>
    </row>
    <row r="79" spans="1:7" x14ac:dyDescent="0.2">
      <c r="A79" s="18">
        <f t="shared" si="7"/>
        <v>67</v>
      </c>
      <c r="B79" s="19">
        <f t="shared" si="8"/>
        <v>5.583333333333333</v>
      </c>
      <c r="C79" s="20">
        <f t="shared" si="9"/>
        <v>88674.226112299628</v>
      </c>
      <c r="D79" s="20">
        <f t="shared" si="10"/>
        <v>110.84278264037454</v>
      </c>
      <c r="E79" s="20">
        <f t="shared" si="11"/>
        <v>500</v>
      </c>
      <c r="F79" s="20">
        <f t="shared" si="12"/>
        <v>89285.068894940006</v>
      </c>
      <c r="G79" s="21" t="str">
        <f t="shared" si="13"/>
        <v>$88,674.23 + $110.84 + $500.00</v>
      </c>
    </row>
    <row r="80" spans="1:7" x14ac:dyDescent="0.2">
      <c r="A80" s="26">
        <f t="shared" si="7"/>
        <v>68</v>
      </c>
      <c r="B80" s="27">
        <f t="shared" si="8"/>
        <v>5.666666666666667</v>
      </c>
      <c r="C80" s="28">
        <f t="shared" si="9"/>
        <v>89285.068894940006</v>
      </c>
      <c r="D80" s="28">
        <f t="shared" si="10"/>
        <v>111.606336118675</v>
      </c>
      <c r="E80" s="28">
        <f t="shared" si="11"/>
        <v>500</v>
      </c>
      <c r="F80" s="28">
        <f t="shared" si="12"/>
        <v>89896.675231058674</v>
      </c>
      <c r="G80" s="29" t="str">
        <f t="shared" si="13"/>
        <v>$89,285.07 + $111.61 + $500.00</v>
      </c>
    </row>
    <row r="81" spans="1:7" x14ac:dyDescent="0.2">
      <c r="A81" s="18">
        <f t="shared" si="7"/>
        <v>69</v>
      </c>
      <c r="B81" s="19">
        <f t="shared" si="8"/>
        <v>5.75</v>
      </c>
      <c r="C81" s="20">
        <f t="shared" si="9"/>
        <v>89896.675231058674</v>
      </c>
      <c r="D81" s="20">
        <f t="shared" si="10"/>
        <v>112.37084403882334</v>
      </c>
      <c r="E81" s="20">
        <f t="shared" si="11"/>
        <v>500</v>
      </c>
      <c r="F81" s="20">
        <f t="shared" si="12"/>
        <v>90509.046075097503</v>
      </c>
      <c r="G81" s="21" t="str">
        <f t="shared" si="13"/>
        <v>$89,896.68 + $112.37 + $500.00</v>
      </c>
    </row>
    <row r="82" spans="1:7" x14ac:dyDescent="0.2">
      <c r="A82" s="26">
        <f t="shared" si="7"/>
        <v>70</v>
      </c>
      <c r="B82" s="27">
        <f t="shared" si="8"/>
        <v>5.833333333333333</v>
      </c>
      <c r="C82" s="28">
        <f t="shared" si="9"/>
        <v>90509.046075097503</v>
      </c>
      <c r="D82" s="28">
        <f t="shared" si="10"/>
        <v>113.13630759387188</v>
      </c>
      <c r="E82" s="28">
        <f t="shared" si="11"/>
        <v>500</v>
      </c>
      <c r="F82" s="28">
        <f t="shared" si="12"/>
        <v>91122.182382691375</v>
      </c>
      <c r="G82" s="29" t="str">
        <f t="shared" si="13"/>
        <v>$90,509.05 + $113.14 + $500.00</v>
      </c>
    </row>
    <row r="83" spans="1:7" x14ac:dyDescent="0.2">
      <c r="A83" s="18">
        <f t="shared" si="7"/>
        <v>71</v>
      </c>
      <c r="B83" s="19">
        <f t="shared" si="8"/>
        <v>5.916666666666667</v>
      </c>
      <c r="C83" s="20">
        <f t="shared" si="9"/>
        <v>91122.182382691375</v>
      </c>
      <c r="D83" s="20">
        <f t="shared" si="10"/>
        <v>113.90272797836421</v>
      </c>
      <c r="E83" s="20">
        <f t="shared" si="11"/>
        <v>500</v>
      </c>
      <c r="F83" s="20">
        <f t="shared" si="12"/>
        <v>91736.085110669737</v>
      </c>
      <c r="G83" s="21" t="str">
        <f t="shared" si="13"/>
        <v>$91,122.18 + $113.90 + $500.00</v>
      </c>
    </row>
    <row r="84" spans="1:7" x14ac:dyDescent="0.2">
      <c r="A84" s="26">
        <f t="shared" si="7"/>
        <v>72</v>
      </c>
      <c r="B84" s="27">
        <f t="shared" si="8"/>
        <v>6</v>
      </c>
      <c r="C84" s="28">
        <f t="shared" si="9"/>
        <v>91736.085110669737</v>
      </c>
      <c r="D84" s="28">
        <f t="shared" si="10"/>
        <v>114.67010638833716</v>
      </c>
      <c r="E84" s="28">
        <f t="shared" si="11"/>
        <v>500</v>
      </c>
      <c r="F84" s="28">
        <f t="shared" si="12"/>
        <v>92350.755217058075</v>
      </c>
      <c r="G84" s="29" t="str">
        <f t="shared" si="13"/>
        <v>$91,736.09 + $114.67 + $500.00</v>
      </c>
    </row>
    <row r="85" spans="1:7" x14ac:dyDescent="0.2">
      <c r="A85" s="18">
        <f t="shared" si="7"/>
        <v>73</v>
      </c>
      <c r="B85" s="19">
        <f t="shared" si="8"/>
        <v>6.083333333333333</v>
      </c>
      <c r="C85" s="20">
        <f t="shared" si="9"/>
        <v>92350.755217058075</v>
      </c>
      <c r="D85" s="20">
        <f t="shared" si="10"/>
        <v>115.4384440213226</v>
      </c>
      <c r="E85" s="20">
        <f t="shared" si="11"/>
        <v>500</v>
      </c>
      <c r="F85" s="20">
        <f t="shared" si="12"/>
        <v>92966.193661079393</v>
      </c>
      <c r="G85" s="21" t="str">
        <f t="shared" si="13"/>
        <v>$92,350.76 + $115.44 + $500.00</v>
      </c>
    </row>
    <row r="86" spans="1:7" x14ac:dyDescent="0.2">
      <c r="A86" s="26">
        <f t="shared" si="7"/>
        <v>74</v>
      </c>
      <c r="B86" s="27">
        <f t="shared" si="8"/>
        <v>6.166666666666667</v>
      </c>
      <c r="C86" s="28">
        <f t="shared" si="9"/>
        <v>92966.193661079393</v>
      </c>
      <c r="D86" s="28">
        <f t="shared" si="10"/>
        <v>116.20774207634923</v>
      </c>
      <c r="E86" s="28">
        <f t="shared" si="11"/>
        <v>500</v>
      </c>
      <c r="F86" s="28">
        <f t="shared" si="12"/>
        <v>93582.401403155745</v>
      </c>
      <c r="G86" s="29" t="str">
        <f t="shared" si="13"/>
        <v>$92,966.19 + $116.21 + $500.00</v>
      </c>
    </row>
    <row r="87" spans="1:7" x14ac:dyDescent="0.2">
      <c r="A87" s="18">
        <f t="shared" si="7"/>
        <v>75</v>
      </c>
      <c r="B87" s="19">
        <f t="shared" si="8"/>
        <v>6.25</v>
      </c>
      <c r="C87" s="20">
        <f t="shared" si="9"/>
        <v>93582.401403155745</v>
      </c>
      <c r="D87" s="20">
        <f t="shared" si="10"/>
        <v>116.97800175394468</v>
      </c>
      <c r="E87" s="20">
        <f t="shared" si="11"/>
        <v>500</v>
      </c>
      <c r="F87" s="20">
        <f t="shared" si="12"/>
        <v>94199.37940490969</v>
      </c>
      <c r="G87" s="21" t="str">
        <f t="shared" si="13"/>
        <v>$93,582.40 + $116.98 + $500.00</v>
      </c>
    </row>
    <row r="88" spans="1:7" x14ac:dyDescent="0.2">
      <c r="A88" s="26">
        <f t="shared" si="7"/>
        <v>76</v>
      </c>
      <c r="B88" s="27">
        <f t="shared" si="8"/>
        <v>6.333333333333333</v>
      </c>
      <c r="C88" s="28">
        <f t="shared" si="9"/>
        <v>94199.37940490969</v>
      </c>
      <c r="D88" s="28">
        <f t="shared" si="10"/>
        <v>117.74922425613711</v>
      </c>
      <c r="E88" s="28">
        <f t="shared" si="11"/>
        <v>500</v>
      </c>
      <c r="F88" s="28">
        <f t="shared" si="12"/>
        <v>94817.128629165833</v>
      </c>
      <c r="G88" s="29" t="str">
        <f t="shared" si="13"/>
        <v>$94,199.38 + $117.75 + $500.00</v>
      </c>
    </row>
    <row r="89" spans="1:7" x14ac:dyDescent="0.2">
      <c r="A89" s="18">
        <f t="shared" si="7"/>
        <v>77</v>
      </c>
      <c r="B89" s="19">
        <f t="shared" si="8"/>
        <v>6.416666666666667</v>
      </c>
      <c r="C89" s="20">
        <f t="shared" si="9"/>
        <v>94817.128629165833</v>
      </c>
      <c r="D89" s="20">
        <f t="shared" si="10"/>
        <v>118.5214107864573</v>
      </c>
      <c r="E89" s="20">
        <f t="shared" si="11"/>
        <v>500</v>
      </c>
      <c r="F89" s="20">
        <f t="shared" si="12"/>
        <v>95435.650039952292</v>
      </c>
      <c r="G89" s="21" t="str">
        <f t="shared" si="13"/>
        <v>$94,817.13 + $118.52 + $500.00</v>
      </c>
    </row>
    <row r="90" spans="1:7" x14ac:dyDescent="0.2">
      <c r="A90" s="26">
        <f t="shared" si="7"/>
        <v>78</v>
      </c>
      <c r="B90" s="27">
        <f t="shared" si="8"/>
        <v>6.5</v>
      </c>
      <c r="C90" s="28">
        <f t="shared" si="9"/>
        <v>95435.650039952292</v>
      </c>
      <c r="D90" s="28">
        <f t="shared" si="10"/>
        <v>119.29456254994035</v>
      </c>
      <c r="E90" s="28">
        <f t="shared" si="11"/>
        <v>500</v>
      </c>
      <c r="F90" s="28">
        <f t="shared" si="12"/>
        <v>96054.944602502233</v>
      </c>
      <c r="G90" s="29" t="str">
        <f t="shared" si="13"/>
        <v>$95,435.65 + $119.29 + $500.00</v>
      </c>
    </row>
    <row r="91" spans="1:7" x14ac:dyDescent="0.2">
      <c r="A91" s="18">
        <f t="shared" si="7"/>
        <v>79</v>
      </c>
      <c r="B91" s="19">
        <f t="shared" si="8"/>
        <v>6.583333333333333</v>
      </c>
      <c r="C91" s="20">
        <f t="shared" si="9"/>
        <v>96054.944602502233</v>
      </c>
      <c r="D91" s="20">
        <f t="shared" si="10"/>
        <v>120.06868075312779</v>
      </c>
      <c r="E91" s="20">
        <f t="shared" si="11"/>
        <v>500</v>
      </c>
      <c r="F91" s="20">
        <f t="shared" si="12"/>
        <v>96675.013283255365</v>
      </c>
      <c r="G91" s="21" t="str">
        <f t="shared" si="13"/>
        <v>$96,054.94 + $120.07 + $500.00</v>
      </c>
    </row>
    <row r="92" spans="1:7" x14ac:dyDescent="0.2">
      <c r="A92" s="26">
        <f t="shared" si="7"/>
        <v>80</v>
      </c>
      <c r="B92" s="27">
        <f t="shared" si="8"/>
        <v>6.666666666666667</v>
      </c>
      <c r="C92" s="28">
        <f t="shared" si="9"/>
        <v>96675.013283255365</v>
      </c>
      <c r="D92" s="28">
        <f t="shared" si="10"/>
        <v>120.84376660406919</v>
      </c>
      <c r="E92" s="28">
        <f t="shared" si="11"/>
        <v>500</v>
      </c>
      <c r="F92" s="28">
        <f t="shared" si="12"/>
        <v>97295.857049859434</v>
      </c>
      <c r="G92" s="29" t="str">
        <f t="shared" si="13"/>
        <v>$96,675.01 + $120.84 + $500.00</v>
      </c>
    </row>
    <row r="93" spans="1:7" x14ac:dyDescent="0.2">
      <c r="A93" s="18">
        <f t="shared" si="7"/>
        <v>81</v>
      </c>
      <c r="B93" s="19">
        <f t="shared" si="8"/>
        <v>6.75</v>
      </c>
      <c r="C93" s="20">
        <f t="shared" si="9"/>
        <v>97295.857049859434</v>
      </c>
      <c r="D93" s="20">
        <f t="shared" si="10"/>
        <v>121.61982131232429</v>
      </c>
      <c r="E93" s="20">
        <f t="shared" si="11"/>
        <v>500</v>
      </c>
      <c r="F93" s="20">
        <f t="shared" si="12"/>
        <v>97917.476871171762</v>
      </c>
      <c r="G93" s="21" t="str">
        <f t="shared" si="13"/>
        <v>$97,295.86 + $121.62 + $500.00</v>
      </c>
    </row>
    <row r="94" spans="1:7" x14ac:dyDescent="0.2">
      <c r="A94" s="26">
        <f t="shared" si="7"/>
        <v>82</v>
      </c>
      <c r="B94" s="27">
        <f t="shared" si="8"/>
        <v>6.833333333333333</v>
      </c>
      <c r="C94" s="28">
        <f t="shared" si="9"/>
        <v>97917.476871171762</v>
      </c>
      <c r="D94" s="28">
        <f t="shared" si="10"/>
        <v>122.39684608896471</v>
      </c>
      <c r="E94" s="28">
        <f t="shared" si="11"/>
        <v>500</v>
      </c>
      <c r="F94" s="28">
        <f t="shared" si="12"/>
        <v>98539.873717260722</v>
      </c>
      <c r="G94" s="29" t="str">
        <f t="shared" si="13"/>
        <v>$97,917.48 + $122.40 + $500.00</v>
      </c>
    </row>
    <row r="95" spans="1:7" x14ac:dyDescent="0.2">
      <c r="A95" s="18">
        <f t="shared" si="7"/>
        <v>83</v>
      </c>
      <c r="B95" s="19">
        <f t="shared" si="8"/>
        <v>6.916666666666667</v>
      </c>
      <c r="C95" s="20">
        <f t="shared" si="9"/>
        <v>98539.873717260722</v>
      </c>
      <c r="D95" s="20">
        <f t="shared" si="10"/>
        <v>123.1748421465759</v>
      </c>
      <c r="E95" s="20">
        <f t="shared" si="11"/>
        <v>500</v>
      </c>
      <c r="F95" s="20">
        <f t="shared" si="12"/>
        <v>99163.048559407296</v>
      </c>
      <c r="G95" s="21" t="str">
        <f t="shared" si="13"/>
        <v>$98,539.87 + $123.17 + $500.00</v>
      </c>
    </row>
    <row r="96" spans="1:7" x14ac:dyDescent="0.2">
      <c r="A96" s="26">
        <f t="shared" si="7"/>
        <v>84</v>
      </c>
      <c r="B96" s="27">
        <f t="shared" si="8"/>
        <v>7</v>
      </c>
      <c r="C96" s="28">
        <f t="shared" si="9"/>
        <v>99163.048559407296</v>
      </c>
      <c r="D96" s="28">
        <f t="shared" si="10"/>
        <v>123.95381069925912</v>
      </c>
      <c r="E96" s="28">
        <f t="shared" si="11"/>
        <v>500</v>
      </c>
      <c r="F96" s="28">
        <f t="shared" si="12"/>
        <v>99787.002370106551</v>
      </c>
      <c r="G96" s="29" t="str">
        <f t="shared" si="13"/>
        <v>$99,163.05 + $123.95 + $500.00</v>
      </c>
    </row>
    <row r="97" spans="1:7" x14ac:dyDescent="0.2">
      <c r="A97" s="18">
        <f t="shared" si="7"/>
        <v>85</v>
      </c>
      <c r="B97" s="19">
        <f t="shared" si="8"/>
        <v>7.083333333333333</v>
      </c>
      <c r="C97" s="20">
        <f t="shared" si="9"/>
        <v>99787.002370106551</v>
      </c>
      <c r="D97" s="20">
        <f t="shared" si="10"/>
        <v>124.73375296263318</v>
      </c>
      <c r="E97" s="20">
        <f t="shared" si="11"/>
        <v>500</v>
      </c>
      <c r="F97" s="20">
        <f t="shared" si="12"/>
        <v>100411.73612306919</v>
      </c>
      <c r="G97" s="21" t="str">
        <f t="shared" si="13"/>
        <v>$99,787.00 + $124.73 + $500.00</v>
      </c>
    </row>
    <row r="98" spans="1:7" x14ac:dyDescent="0.2">
      <c r="A98" s="26">
        <f t="shared" si="7"/>
        <v>86</v>
      </c>
      <c r="B98" s="27">
        <f t="shared" si="8"/>
        <v>7.166666666666667</v>
      </c>
      <c r="C98" s="28">
        <f t="shared" si="9"/>
        <v>100411.73612306919</v>
      </c>
      <c r="D98" s="28">
        <f t="shared" si="10"/>
        <v>125.51467015383649</v>
      </c>
      <c r="E98" s="28">
        <f t="shared" si="11"/>
        <v>500</v>
      </c>
      <c r="F98" s="28">
        <f t="shared" si="12"/>
        <v>101037.25079322302</v>
      </c>
      <c r="G98" s="29" t="str">
        <f t="shared" si="13"/>
        <v>$100,411.74 + $125.51 + $500.00</v>
      </c>
    </row>
    <row r="99" spans="1:7" x14ac:dyDescent="0.2">
      <c r="A99" s="18">
        <f t="shared" si="7"/>
        <v>87</v>
      </c>
      <c r="B99" s="19">
        <f t="shared" si="8"/>
        <v>7.25</v>
      </c>
      <c r="C99" s="20">
        <f t="shared" si="9"/>
        <v>101037.25079322302</v>
      </c>
      <c r="D99" s="20">
        <f t="shared" si="10"/>
        <v>126.29656349152877</v>
      </c>
      <c r="E99" s="20">
        <f t="shared" si="11"/>
        <v>500</v>
      </c>
      <c r="F99" s="20">
        <f t="shared" si="12"/>
        <v>101663.54735671455</v>
      </c>
      <c r="G99" s="21" t="str">
        <f t="shared" si="13"/>
        <v>$101,037.25 + $126.30 + $500.00</v>
      </c>
    </row>
    <row r="100" spans="1:7" x14ac:dyDescent="0.2">
      <c r="A100" s="26">
        <f t="shared" si="7"/>
        <v>88</v>
      </c>
      <c r="B100" s="27">
        <f t="shared" si="8"/>
        <v>7.333333333333333</v>
      </c>
      <c r="C100" s="28">
        <f t="shared" si="9"/>
        <v>101663.54735671455</v>
      </c>
      <c r="D100" s="28">
        <f t="shared" si="10"/>
        <v>127.0794341958932</v>
      </c>
      <c r="E100" s="28">
        <f t="shared" si="11"/>
        <v>500</v>
      </c>
      <c r="F100" s="28">
        <f t="shared" si="12"/>
        <v>102290.62679091045</v>
      </c>
      <c r="G100" s="29" t="str">
        <f t="shared" si="13"/>
        <v>$101,663.55 + $127.08 + $500.00</v>
      </c>
    </row>
    <row r="101" spans="1:7" x14ac:dyDescent="0.2">
      <c r="A101" s="18">
        <f t="shared" si="7"/>
        <v>89</v>
      </c>
      <c r="B101" s="19">
        <f t="shared" si="8"/>
        <v>7.416666666666667</v>
      </c>
      <c r="C101" s="20">
        <f t="shared" si="9"/>
        <v>102290.62679091045</v>
      </c>
      <c r="D101" s="20">
        <f t="shared" si="10"/>
        <v>127.86328348863806</v>
      </c>
      <c r="E101" s="20">
        <f t="shared" si="11"/>
        <v>500</v>
      </c>
      <c r="F101" s="20">
        <f t="shared" si="12"/>
        <v>102918.49007439909</v>
      </c>
      <c r="G101" s="21" t="str">
        <f t="shared" si="13"/>
        <v>$102,290.63 + $127.86 + $500.00</v>
      </c>
    </row>
    <row r="102" spans="1:7" x14ac:dyDescent="0.2">
      <c r="A102" s="26">
        <f t="shared" si="7"/>
        <v>90</v>
      </c>
      <c r="B102" s="27">
        <f t="shared" si="8"/>
        <v>7.5</v>
      </c>
      <c r="C102" s="28">
        <f t="shared" si="9"/>
        <v>102918.49007439909</v>
      </c>
      <c r="D102" s="28">
        <f t="shared" si="10"/>
        <v>128.64811259299884</v>
      </c>
      <c r="E102" s="28">
        <f t="shared" si="11"/>
        <v>500</v>
      </c>
      <c r="F102" s="28">
        <f t="shared" si="12"/>
        <v>103547.13818699209</v>
      </c>
      <c r="G102" s="29" t="str">
        <f t="shared" si="13"/>
        <v>$102,918.49 + $128.65 + $500.00</v>
      </c>
    </row>
    <row r="103" spans="1:7" x14ac:dyDescent="0.2">
      <c r="A103" s="18">
        <f t="shared" si="7"/>
        <v>91</v>
      </c>
      <c r="B103" s="19">
        <f t="shared" si="8"/>
        <v>7.583333333333333</v>
      </c>
      <c r="C103" s="20">
        <f t="shared" si="9"/>
        <v>103547.13818699209</v>
      </c>
      <c r="D103" s="20">
        <f t="shared" si="10"/>
        <v>129.4339227337401</v>
      </c>
      <c r="E103" s="20">
        <f t="shared" si="11"/>
        <v>500</v>
      </c>
      <c r="F103" s="20">
        <f t="shared" si="12"/>
        <v>104176.57210972582</v>
      </c>
      <c r="G103" s="21" t="str">
        <f t="shared" si="13"/>
        <v>$103,547.14 + $129.43 + $500.00</v>
      </c>
    </row>
    <row r="104" spans="1:7" x14ac:dyDescent="0.2">
      <c r="A104" s="26">
        <f t="shared" si="7"/>
        <v>92</v>
      </c>
      <c r="B104" s="27">
        <f t="shared" si="8"/>
        <v>7.666666666666667</v>
      </c>
      <c r="C104" s="28">
        <f t="shared" si="9"/>
        <v>104176.57210972582</v>
      </c>
      <c r="D104" s="28">
        <f t="shared" si="10"/>
        <v>130.22071513715727</v>
      </c>
      <c r="E104" s="28">
        <f t="shared" si="11"/>
        <v>500</v>
      </c>
      <c r="F104" s="28">
        <f t="shared" si="12"/>
        <v>104806.79282486298</v>
      </c>
      <c r="G104" s="29" t="str">
        <f t="shared" si="13"/>
        <v>$104,176.57 + $130.22 + $500.00</v>
      </c>
    </row>
    <row r="105" spans="1:7" x14ac:dyDescent="0.2">
      <c r="A105" s="18">
        <f t="shared" si="7"/>
        <v>93</v>
      </c>
      <c r="B105" s="19">
        <f t="shared" si="8"/>
        <v>7.75</v>
      </c>
      <c r="C105" s="20">
        <f t="shared" si="9"/>
        <v>104806.79282486298</v>
      </c>
      <c r="D105" s="20">
        <f t="shared" si="10"/>
        <v>131.00849103107871</v>
      </c>
      <c r="E105" s="20">
        <f t="shared" si="11"/>
        <v>500</v>
      </c>
      <c r="F105" s="20">
        <f t="shared" si="12"/>
        <v>105437.80131589406</v>
      </c>
      <c r="G105" s="21" t="str">
        <f t="shared" si="13"/>
        <v>$104,806.79 + $131.01 + $500.00</v>
      </c>
    </row>
    <row r="106" spans="1:7" x14ac:dyDescent="0.2">
      <c r="A106" s="26">
        <f t="shared" si="7"/>
        <v>94</v>
      </c>
      <c r="B106" s="27">
        <f t="shared" si="8"/>
        <v>7.833333333333333</v>
      </c>
      <c r="C106" s="28">
        <f t="shared" si="9"/>
        <v>105437.80131589406</v>
      </c>
      <c r="D106" s="28">
        <f t="shared" si="10"/>
        <v>131.79725164486757</v>
      </c>
      <c r="E106" s="28">
        <f t="shared" si="11"/>
        <v>500</v>
      </c>
      <c r="F106" s="28">
        <f t="shared" si="12"/>
        <v>106069.59856753892</v>
      </c>
      <c r="G106" s="29" t="str">
        <f t="shared" si="13"/>
        <v>$105,437.80 + $131.80 + $500.00</v>
      </c>
    </row>
    <row r="107" spans="1:7" x14ac:dyDescent="0.2">
      <c r="A107" s="18">
        <f t="shared" si="7"/>
        <v>95</v>
      </c>
      <c r="B107" s="19">
        <f t="shared" si="8"/>
        <v>7.916666666666667</v>
      </c>
      <c r="C107" s="20">
        <f t="shared" si="9"/>
        <v>106069.59856753892</v>
      </c>
      <c r="D107" s="20">
        <f t="shared" si="10"/>
        <v>132.58699820942365</v>
      </c>
      <c r="E107" s="20">
        <f t="shared" si="11"/>
        <v>500</v>
      </c>
      <c r="F107" s="20">
        <f t="shared" si="12"/>
        <v>106702.18556574835</v>
      </c>
      <c r="G107" s="21" t="str">
        <f t="shared" si="13"/>
        <v>$106,069.60 + $132.59 + $500.00</v>
      </c>
    </row>
    <row r="108" spans="1:7" x14ac:dyDescent="0.2">
      <c r="A108" s="26">
        <f t="shared" si="7"/>
        <v>96</v>
      </c>
      <c r="B108" s="27">
        <f t="shared" si="8"/>
        <v>8</v>
      </c>
      <c r="C108" s="28">
        <f t="shared" si="9"/>
        <v>106702.18556574835</v>
      </c>
      <c r="D108" s="28">
        <f t="shared" si="10"/>
        <v>133.37773195718543</v>
      </c>
      <c r="E108" s="28">
        <f t="shared" si="11"/>
        <v>500</v>
      </c>
      <c r="F108" s="28">
        <f t="shared" si="12"/>
        <v>107335.56329770554</v>
      </c>
      <c r="G108" s="29" t="str">
        <f t="shared" si="13"/>
        <v>$106,702.19 + $133.38 + $500.00</v>
      </c>
    </row>
    <row r="109" spans="1:7" x14ac:dyDescent="0.2">
      <c r="A109" s="18">
        <f t="shared" si="7"/>
        <v>97</v>
      </c>
      <c r="B109" s="19">
        <f t="shared" si="8"/>
        <v>8.0833333333333339</v>
      </c>
      <c r="C109" s="20">
        <f t="shared" si="9"/>
        <v>107335.56329770554</v>
      </c>
      <c r="D109" s="20">
        <f t="shared" si="10"/>
        <v>134.1694541221319</v>
      </c>
      <c r="E109" s="20">
        <f t="shared" si="11"/>
        <v>500</v>
      </c>
      <c r="F109" s="20">
        <f t="shared" si="12"/>
        <v>107969.73275182767</v>
      </c>
      <c r="G109" s="21" t="str">
        <f t="shared" si="13"/>
        <v>$107,335.56 + $134.17 + $500.00</v>
      </c>
    </row>
    <row r="110" spans="1:7" x14ac:dyDescent="0.2">
      <c r="A110" s="26">
        <f t="shared" si="7"/>
        <v>98</v>
      </c>
      <c r="B110" s="27">
        <f t="shared" si="8"/>
        <v>8.1666666666666661</v>
      </c>
      <c r="C110" s="28">
        <f t="shared" si="9"/>
        <v>107969.73275182767</v>
      </c>
      <c r="D110" s="28">
        <f t="shared" si="10"/>
        <v>134.96216593978457</v>
      </c>
      <c r="E110" s="28">
        <f t="shared" si="11"/>
        <v>500</v>
      </c>
      <c r="F110" s="28">
        <f t="shared" si="12"/>
        <v>108604.69491776745</v>
      </c>
      <c r="G110" s="29" t="str">
        <f t="shared" si="13"/>
        <v>$107,969.73 + $134.96 + $500.00</v>
      </c>
    </row>
    <row r="111" spans="1:7" x14ac:dyDescent="0.2">
      <c r="A111" s="18">
        <f t="shared" si="7"/>
        <v>99</v>
      </c>
      <c r="B111" s="19">
        <f t="shared" si="8"/>
        <v>8.25</v>
      </c>
      <c r="C111" s="20">
        <f t="shared" si="9"/>
        <v>108604.69491776745</v>
      </c>
      <c r="D111" s="20">
        <f t="shared" si="10"/>
        <v>135.75586864720933</v>
      </c>
      <c r="E111" s="20">
        <f t="shared" si="11"/>
        <v>500</v>
      </c>
      <c r="F111" s="20">
        <f t="shared" si="12"/>
        <v>109240.45078641466</v>
      </c>
      <c r="G111" s="21" t="str">
        <f t="shared" si="13"/>
        <v>$108,604.69 + $135.76 + $500.00</v>
      </c>
    </row>
    <row r="112" spans="1:7" x14ac:dyDescent="0.2">
      <c r="A112" s="26">
        <f t="shared" si="7"/>
        <v>100</v>
      </c>
      <c r="B112" s="27">
        <f t="shared" si="8"/>
        <v>8.3333333333333339</v>
      </c>
      <c r="C112" s="28">
        <f t="shared" si="9"/>
        <v>109240.45078641466</v>
      </c>
      <c r="D112" s="28">
        <f t="shared" si="10"/>
        <v>136.55056348301832</v>
      </c>
      <c r="E112" s="28">
        <f t="shared" si="11"/>
        <v>500</v>
      </c>
      <c r="F112" s="28">
        <f t="shared" si="12"/>
        <v>109877.00134989768</v>
      </c>
      <c r="G112" s="29" t="str">
        <f t="shared" si="13"/>
        <v>$109,240.45 + $136.55 + $500.00</v>
      </c>
    </row>
    <row r="113" spans="1:7" x14ac:dyDescent="0.2">
      <c r="A113" s="18">
        <f t="shared" si="7"/>
        <v>101</v>
      </c>
      <c r="B113" s="19">
        <f t="shared" si="8"/>
        <v>8.4166666666666661</v>
      </c>
      <c r="C113" s="20">
        <f t="shared" si="9"/>
        <v>109877.00134989768</v>
      </c>
      <c r="D113" s="20">
        <f t="shared" si="10"/>
        <v>137.34625168737207</v>
      </c>
      <c r="E113" s="20">
        <f t="shared" si="11"/>
        <v>500</v>
      </c>
      <c r="F113" s="20">
        <f t="shared" si="12"/>
        <v>110514.34760158505</v>
      </c>
      <c r="G113" s="21" t="str">
        <f t="shared" si="13"/>
        <v>$109,877.00 + $137.35 + $500.00</v>
      </c>
    </row>
    <row r="114" spans="1:7" x14ac:dyDescent="0.2">
      <c r="A114" s="26">
        <f t="shared" si="7"/>
        <v>102</v>
      </c>
      <c r="B114" s="27">
        <f t="shared" si="8"/>
        <v>8.5</v>
      </c>
      <c r="C114" s="28">
        <f t="shared" si="9"/>
        <v>110514.34760158505</v>
      </c>
      <c r="D114" s="28">
        <f t="shared" si="10"/>
        <v>138.1429345019813</v>
      </c>
      <c r="E114" s="28">
        <f t="shared" si="11"/>
        <v>500</v>
      </c>
      <c r="F114" s="28">
        <f t="shared" si="12"/>
        <v>111152.49053608703</v>
      </c>
      <c r="G114" s="29" t="str">
        <f t="shared" si="13"/>
        <v>$110,514.35 + $138.14 + $500.00</v>
      </c>
    </row>
    <row r="115" spans="1:7" x14ac:dyDescent="0.2">
      <c r="A115" s="18">
        <f t="shared" si="7"/>
        <v>103</v>
      </c>
      <c r="B115" s="19">
        <f t="shared" si="8"/>
        <v>8.5833333333333339</v>
      </c>
      <c r="C115" s="20">
        <f t="shared" si="9"/>
        <v>111152.49053608703</v>
      </c>
      <c r="D115" s="20">
        <f t="shared" si="10"/>
        <v>138.94061317010878</v>
      </c>
      <c r="E115" s="20">
        <f t="shared" si="11"/>
        <v>500</v>
      </c>
      <c r="F115" s="20">
        <f t="shared" si="12"/>
        <v>111791.43114925714</v>
      </c>
      <c r="G115" s="21" t="str">
        <f t="shared" si="13"/>
        <v>$111,152.49 + $138.94 + $500.00</v>
      </c>
    </row>
    <row r="116" spans="1:7" x14ac:dyDescent="0.2">
      <c r="A116" s="26">
        <f t="shared" si="7"/>
        <v>104</v>
      </c>
      <c r="B116" s="27">
        <f t="shared" si="8"/>
        <v>8.6666666666666661</v>
      </c>
      <c r="C116" s="28">
        <f t="shared" si="9"/>
        <v>111791.43114925714</v>
      </c>
      <c r="D116" s="28">
        <f t="shared" si="10"/>
        <v>139.73928893657143</v>
      </c>
      <c r="E116" s="28">
        <f t="shared" si="11"/>
        <v>500</v>
      </c>
      <c r="F116" s="28">
        <f t="shared" si="12"/>
        <v>112431.17043819372</v>
      </c>
      <c r="G116" s="29" t="str">
        <f t="shared" si="13"/>
        <v>$111,791.43 + $139.74 + $500.00</v>
      </c>
    </row>
    <row r="117" spans="1:7" x14ac:dyDescent="0.2">
      <c r="A117" s="18">
        <f t="shared" si="7"/>
        <v>105</v>
      </c>
      <c r="B117" s="19">
        <f t="shared" si="8"/>
        <v>8.75</v>
      </c>
      <c r="C117" s="20">
        <f t="shared" si="9"/>
        <v>112431.17043819372</v>
      </c>
      <c r="D117" s="20">
        <f t="shared" si="10"/>
        <v>140.53896304774216</v>
      </c>
      <c r="E117" s="20">
        <f t="shared" si="11"/>
        <v>500</v>
      </c>
      <c r="F117" s="20">
        <f t="shared" si="12"/>
        <v>113071.70940124146</v>
      </c>
      <c r="G117" s="21" t="str">
        <f t="shared" si="13"/>
        <v>$112,431.17 + $140.54 + $500.00</v>
      </c>
    </row>
    <row r="118" spans="1:7" x14ac:dyDescent="0.2">
      <c r="A118" s="26">
        <f t="shared" si="7"/>
        <v>106</v>
      </c>
      <c r="B118" s="27">
        <f t="shared" si="8"/>
        <v>8.8333333333333339</v>
      </c>
      <c r="C118" s="28">
        <f t="shared" si="9"/>
        <v>113071.70940124146</v>
      </c>
      <c r="D118" s="28">
        <f t="shared" si="10"/>
        <v>141.33963675155181</v>
      </c>
      <c r="E118" s="28">
        <f t="shared" si="11"/>
        <v>500</v>
      </c>
      <c r="F118" s="28">
        <f t="shared" si="12"/>
        <v>113713.04903799301</v>
      </c>
      <c r="G118" s="29" t="str">
        <f t="shared" si="13"/>
        <v>$113,071.71 + $141.34 + $500.00</v>
      </c>
    </row>
    <row r="119" spans="1:7" x14ac:dyDescent="0.2">
      <c r="A119" s="18">
        <f t="shared" si="7"/>
        <v>107</v>
      </c>
      <c r="B119" s="19">
        <f t="shared" si="8"/>
        <v>8.9166666666666661</v>
      </c>
      <c r="C119" s="20">
        <f t="shared" si="9"/>
        <v>113713.04903799301</v>
      </c>
      <c r="D119" s="20">
        <f t="shared" si="10"/>
        <v>142.14131129749126</v>
      </c>
      <c r="E119" s="20">
        <f t="shared" si="11"/>
        <v>500</v>
      </c>
      <c r="F119" s="20">
        <f t="shared" si="12"/>
        <v>114355.1903492905</v>
      </c>
      <c r="G119" s="21" t="str">
        <f t="shared" si="13"/>
        <v>$113,713.05 + $142.14 + $500.00</v>
      </c>
    </row>
    <row r="120" spans="1:7" x14ac:dyDescent="0.2">
      <c r="A120" s="26">
        <f t="shared" si="7"/>
        <v>108</v>
      </c>
      <c r="B120" s="27">
        <f t="shared" si="8"/>
        <v>9</v>
      </c>
      <c r="C120" s="28">
        <f t="shared" si="9"/>
        <v>114355.1903492905</v>
      </c>
      <c r="D120" s="28">
        <f t="shared" si="10"/>
        <v>142.94398793661313</v>
      </c>
      <c r="E120" s="28">
        <f t="shared" si="11"/>
        <v>500</v>
      </c>
      <c r="F120" s="28">
        <f t="shared" si="12"/>
        <v>114998.13433722711</v>
      </c>
      <c r="G120" s="29" t="str">
        <f t="shared" si="13"/>
        <v>$114,355.19 + $142.94 + $500.00</v>
      </c>
    </row>
    <row r="121" spans="1:7" x14ac:dyDescent="0.2">
      <c r="A121" s="18">
        <f t="shared" si="7"/>
        <v>109</v>
      </c>
      <c r="B121" s="19">
        <f t="shared" si="8"/>
        <v>9.0833333333333339</v>
      </c>
      <c r="C121" s="20">
        <f t="shared" si="9"/>
        <v>114998.13433722711</v>
      </c>
      <c r="D121" s="20">
        <f t="shared" si="10"/>
        <v>143.74766792153386</v>
      </c>
      <c r="E121" s="20">
        <f t="shared" si="11"/>
        <v>500</v>
      </c>
      <c r="F121" s="20">
        <f t="shared" si="12"/>
        <v>115641.88200514864</v>
      </c>
      <c r="G121" s="21" t="str">
        <f t="shared" si="13"/>
        <v>$114,998.13 + $143.75 + $500.00</v>
      </c>
    </row>
    <row r="122" spans="1:7" x14ac:dyDescent="0.2">
      <c r="A122" s="26">
        <f t="shared" si="7"/>
        <v>110</v>
      </c>
      <c r="B122" s="27">
        <f t="shared" si="8"/>
        <v>9.1666666666666661</v>
      </c>
      <c r="C122" s="28">
        <f t="shared" si="9"/>
        <v>115641.88200514864</v>
      </c>
      <c r="D122" s="28">
        <f t="shared" si="10"/>
        <v>144.5523525064358</v>
      </c>
      <c r="E122" s="28">
        <f t="shared" si="11"/>
        <v>500</v>
      </c>
      <c r="F122" s="28">
        <f t="shared" si="12"/>
        <v>116286.43435765507</v>
      </c>
      <c r="G122" s="29" t="str">
        <f t="shared" si="13"/>
        <v>$115,641.88 + $144.55 + $500.00</v>
      </c>
    </row>
    <row r="123" spans="1:7" x14ac:dyDescent="0.2">
      <c r="A123" s="18">
        <f t="shared" si="7"/>
        <v>111</v>
      </c>
      <c r="B123" s="19">
        <f t="shared" si="8"/>
        <v>9.25</v>
      </c>
      <c r="C123" s="20">
        <f t="shared" si="9"/>
        <v>116286.43435765507</v>
      </c>
      <c r="D123" s="20">
        <f t="shared" si="10"/>
        <v>145.35804294706884</v>
      </c>
      <c r="E123" s="20">
        <f t="shared" si="11"/>
        <v>500</v>
      </c>
      <c r="F123" s="20">
        <f t="shared" si="12"/>
        <v>116931.79240060215</v>
      </c>
      <c r="G123" s="21" t="str">
        <f t="shared" si="13"/>
        <v>$116,286.43 + $145.36 + $500.00</v>
      </c>
    </row>
    <row r="124" spans="1:7" x14ac:dyDescent="0.2">
      <c r="A124" s="26">
        <f t="shared" si="7"/>
        <v>112</v>
      </c>
      <c r="B124" s="27">
        <f t="shared" si="8"/>
        <v>9.3333333333333339</v>
      </c>
      <c r="C124" s="28">
        <f t="shared" si="9"/>
        <v>116931.79240060215</v>
      </c>
      <c r="D124" s="28">
        <f t="shared" si="10"/>
        <v>146.16474050075269</v>
      </c>
      <c r="E124" s="28">
        <f t="shared" si="11"/>
        <v>500</v>
      </c>
      <c r="F124" s="28">
        <f t="shared" si="12"/>
        <v>117577.9571411029</v>
      </c>
      <c r="G124" s="29" t="str">
        <f t="shared" si="13"/>
        <v>$116,931.79 + $146.16 + $500.00</v>
      </c>
    </row>
    <row r="125" spans="1:7" x14ac:dyDescent="0.2">
      <c r="A125" s="18">
        <f t="shared" si="7"/>
        <v>113</v>
      </c>
      <c r="B125" s="19">
        <f t="shared" si="8"/>
        <v>9.4166666666666661</v>
      </c>
      <c r="C125" s="20">
        <f t="shared" si="9"/>
        <v>117577.9571411029</v>
      </c>
      <c r="D125" s="20">
        <f t="shared" si="10"/>
        <v>146.97244642637864</v>
      </c>
      <c r="E125" s="20">
        <f t="shared" si="11"/>
        <v>500</v>
      </c>
      <c r="F125" s="20">
        <f t="shared" si="12"/>
        <v>118224.92958752929</v>
      </c>
      <c r="G125" s="21" t="str">
        <f t="shared" si="13"/>
        <v>$117,577.96 + $146.97 + $500.00</v>
      </c>
    </row>
    <row r="126" spans="1:7" x14ac:dyDescent="0.2">
      <c r="A126" s="26">
        <f t="shared" si="7"/>
        <v>114</v>
      </c>
      <c r="B126" s="27">
        <f t="shared" si="8"/>
        <v>9.5</v>
      </c>
      <c r="C126" s="28">
        <f t="shared" si="9"/>
        <v>118224.92958752929</v>
      </c>
      <c r="D126" s="28">
        <f t="shared" si="10"/>
        <v>147.7811619844116</v>
      </c>
      <c r="E126" s="28">
        <f t="shared" si="11"/>
        <v>500</v>
      </c>
      <c r="F126" s="28">
        <f t="shared" si="12"/>
        <v>118872.7107495137</v>
      </c>
      <c r="G126" s="29" t="str">
        <f t="shared" si="13"/>
        <v>$118,224.93 + $147.78 + $500.00</v>
      </c>
    </row>
    <row r="127" spans="1:7" x14ac:dyDescent="0.2">
      <c r="A127" s="18">
        <f t="shared" si="7"/>
        <v>115</v>
      </c>
      <c r="B127" s="19">
        <f t="shared" si="8"/>
        <v>9.5833333333333339</v>
      </c>
      <c r="C127" s="20">
        <f t="shared" si="9"/>
        <v>118872.7107495137</v>
      </c>
      <c r="D127" s="20">
        <f t="shared" si="10"/>
        <v>148.59088843689213</v>
      </c>
      <c r="E127" s="20">
        <f t="shared" si="11"/>
        <v>500</v>
      </c>
      <c r="F127" s="20">
        <f t="shared" si="12"/>
        <v>119521.3016379506</v>
      </c>
      <c r="G127" s="21" t="str">
        <f t="shared" si="13"/>
        <v>$118,872.71 + $148.59 + $500.00</v>
      </c>
    </row>
    <row r="128" spans="1:7" x14ac:dyDescent="0.2">
      <c r="A128" s="26">
        <f t="shared" si="7"/>
        <v>116</v>
      </c>
      <c r="B128" s="27">
        <f t="shared" si="8"/>
        <v>9.6666666666666661</v>
      </c>
      <c r="C128" s="28">
        <f t="shared" si="9"/>
        <v>119521.3016379506</v>
      </c>
      <c r="D128" s="28">
        <f t="shared" si="10"/>
        <v>149.40162704743824</v>
      </c>
      <c r="E128" s="28">
        <f t="shared" si="11"/>
        <v>500</v>
      </c>
      <c r="F128" s="28">
        <f t="shared" si="12"/>
        <v>120170.70326499804</v>
      </c>
      <c r="G128" s="29" t="str">
        <f t="shared" si="13"/>
        <v>$119,521.30 + $149.40 + $500.00</v>
      </c>
    </row>
    <row r="129" spans="1:7" x14ac:dyDescent="0.2">
      <c r="A129" s="18">
        <f t="shared" si="7"/>
        <v>117</v>
      </c>
      <c r="B129" s="19">
        <f t="shared" si="8"/>
        <v>9.75</v>
      </c>
      <c r="C129" s="20">
        <f t="shared" si="9"/>
        <v>120170.70326499804</v>
      </c>
      <c r="D129" s="20">
        <f t="shared" si="10"/>
        <v>150.21337908124755</v>
      </c>
      <c r="E129" s="20">
        <f t="shared" si="11"/>
        <v>500</v>
      </c>
      <c r="F129" s="20">
        <f t="shared" si="12"/>
        <v>120820.91664407929</v>
      </c>
      <c r="G129" s="21" t="str">
        <f t="shared" si="13"/>
        <v>$120,170.70 + $150.21 + $500.00</v>
      </c>
    </row>
    <row r="130" spans="1:7" x14ac:dyDescent="0.2">
      <c r="A130" s="26">
        <f t="shared" si="7"/>
        <v>118</v>
      </c>
      <c r="B130" s="27">
        <f t="shared" si="8"/>
        <v>9.8333333333333339</v>
      </c>
      <c r="C130" s="28">
        <f t="shared" si="9"/>
        <v>120820.91664407929</v>
      </c>
      <c r="D130" s="28">
        <f t="shared" si="10"/>
        <v>151.02614580509911</v>
      </c>
      <c r="E130" s="28">
        <f t="shared" si="11"/>
        <v>500</v>
      </c>
      <c r="F130" s="28">
        <f t="shared" si="12"/>
        <v>121471.94278988439</v>
      </c>
      <c r="G130" s="29" t="str">
        <f t="shared" si="13"/>
        <v>$120,820.92 + $151.03 + $500.00</v>
      </c>
    </row>
    <row r="131" spans="1:7" x14ac:dyDescent="0.2">
      <c r="A131" s="18">
        <f t="shared" si="7"/>
        <v>119</v>
      </c>
      <c r="B131" s="19">
        <f t="shared" si="8"/>
        <v>9.9166666666666661</v>
      </c>
      <c r="C131" s="20">
        <f t="shared" si="9"/>
        <v>121471.94278988439</v>
      </c>
      <c r="D131" s="20">
        <f t="shared" si="10"/>
        <v>151.83992848735548</v>
      </c>
      <c r="E131" s="20">
        <f t="shared" si="11"/>
        <v>500</v>
      </c>
      <c r="F131" s="20">
        <f t="shared" si="12"/>
        <v>122123.78271837175</v>
      </c>
      <c r="G131" s="21" t="str">
        <f t="shared" si="13"/>
        <v>$121,471.94 + $151.84 + $500.00</v>
      </c>
    </row>
    <row r="132" spans="1:7" x14ac:dyDescent="0.2">
      <c r="A132" s="26">
        <f t="shared" si="7"/>
        <v>120</v>
      </c>
      <c r="B132" s="27">
        <f t="shared" si="8"/>
        <v>10</v>
      </c>
      <c r="C132" s="28">
        <f t="shared" si="9"/>
        <v>122123.78271837175</v>
      </c>
      <c r="D132" s="28">
        <f t="shared" si="10"/>
        <v>152.65472839796467</v>
      </c>
      <c r="E132" s="28">
        <f t="shared" si="11"/>
        <v>500</v>
      </c>
      <c r="F132" s="28">
        <f t="shared" si="12"/>
        <v>122776.43744676971</v>
      </c>
      <c r="G132" s="29" t="str">
        <f t="shared" si="13"/>
        <v>$122,123.78 + $152.65 + $500.00</v>
      </c>
    </row>
    <row r="133" spans="1:7" x14ac:dyDescent="0.2">
      <c r="A133" s="18">
        <f t="shared" si="7"/>
        <v>121</v>
      </c>
      <c r="B133" s="19">
        <f t="shared" si="8"/>
        <v>10.083333333333334</v>
      </c>
      <c r="C133" s="20">
        <f t="shared" si="9"/>
        <v>122776.43744676971</v>
      </c>
      <c r="D133" s="20">
        <f t="shared" si="10"/>
        <v>153.47054680846213</v>
      </c>
      <c r="E133" s="20">
        <f t="shared" si="11"/>
        <v>500</v>
      </c>
      <c r="F133" s="20">
        <f t="shared" si="12"/>
        <v>123429.90799357816</v>
      </c>
      <c r="G133" s="21" t="str">
        <f t="shared" si="13"/>
        <v>$122,776.44 + $153.47 + $500.00</v>
      </c>
    </row>
    <row r="134" spans="1:7" x14ac:dyDescent="0.2">
      <c r="A134" s="26">
        <f t="shared" si="7"/>
        <v>122</v>
      </c>
      <c r="B134" s="27">
        <f t="shared" si="8"/>
        <v>10.166666666666666</v>
      </c>
      <c r="C134" s="28">
        <f t="shared" si="9"/>
        <v>123429.90799357816</v>
      </c>
      <c r="D134" s="28">
        <f t="shared" si="10"/>
        <v>154.28738499197269</v>
      </c>
      <c r="E134" s="28">
        <f t="shared" si="11"/>
        <v>500</v>
      </c>
      <c r="F134" s="28">
        <f t="shared" si="12"/>
        <v>124084.19537857013</v>
      </c>
      <c r="G134" s="29" t="str">
        <f t="shared" si="13"/>
        <v>$123,429.91 + $154.29 + $500.00</v>
      </c>
    </row>
    <row r="135" spans="1:7" x14ac:dyDescent="0.2">
      <c r="A135" s="18">
        <f t="shared" si="7"/>
        <v>123</v>
      </c>
      <c r="B135" s="19">
        <f t="shared" si="8"/>
        <v>10.25</v>
      </c>
      <c r="C135" s="20">
        <f t="shared" si="9"/>
        <v>124084.19537857013</v>
      </c>
      <c r="D135" s="20">
        <f t="shared" si="10"/>
        <v>155.10524422321268</v>
      </c>
      <c r="E135" s="20">
        <f t="shared" si="11"/>
        <v>500</v>
      </c>
      <c r="F135" s="20">
        <f t="shared" si="12"/>
        <v>124739.30062279335</v>
      </c>
      <c r="G135" s="21" t="str">
        <f t="shared" si="13"/>
        <v>$124,084.20 + $155.11 + $500.00</v>
      </c>
    </row>
    <row r="136" spans="1:7" x14ac:dyDescent="0.2">
      <c r="A136" s="26">
        <f t="shared" si="7"/>
        <v>124</v>
      </c>
      <c r="B136" s="27">
        <f t="shared" si="8"/>
        <v>10.333333333333334</v>
      </c>
      <c r="C136" s="28">
        <f t="shared" si="9"/>
        <v>124739.30062279335</v>
      </c>
      <c r="D136" s="28">
        <f t="shared" si="10"/>
        <v>155.92412577849169</v>
      </c>
      <c r="E136" s="28">
        <f t="shared" si="11"/>
        <v>500</v>
      </c>
      <c r="F136" s="28">
        <f t="shared" si="12"/>
        <v>125395.22474857184</v>
      </c>
      <c r="G136" s="29" t="str">
        <f t="shared" si="13"/>
        <v>$124,739.30 + $155.92 + $500.00</v>
      </c>
    </row>
    <row r="137" spans="1:7" x14ac:dyDescent="0.2">
      <c r="A137" s="18">
        <f t="shared" si="7"/>
        <v>125</v>
      </c>
      <c r="B137" s="19">
        <f t="shared" si="8"/>
        <v>10.416666666666666</v>
      </c>
      <c r="C137" s="20">
        <f t="shared" si="9"/>
        <v>125395.22474857184</v>
      </c>
      <c r="D137" s="20">
        <f t="shared" si="10"/>
        <v>156.74403093571479</v>
      </c>
      <c r="E137" s="20">
        <f t="shared" si="11"/>
        <v>500</v>
      </c>
      <c r="F137" s="20">
        <f t="shared" si="12"/>
        <v>126051.96877950756</v>
      </c>
      <c r="G137" s="21" t="str">
        <f t="shared" si="13"/>
        <v>$125,395.22 + $156.74 + $500.00</v>
      </c>
    </row>
    <row r="138" spans="1:7" x14ac:dyDescent="0.2">
      <c r="A138" s="26">
        <f t="shared" si="7"/>
        <v>126</v>
      </c>
      <c r="B138" s="27">
        <f t="shared" si="8"/>
        <v>10.5</v>
      </c>
      <c r="C138" s="28">
        <f t="shared" si="9"/>
        <v>126051.96877950756</v>
      </c>
      <c r="D138" s="28">
        <f t="shared" si="10"/>
        <v>157.56496097438443</v>
      </c>
      <c r="E138" s="28">
        <f t="shared" si="11"/>
        <v>500</v>
      </c>
      <c r="F138" s="28">
        <f t="shared" si="12"/>
        <v>126709.53374048194</v>
      </c>
      <c r="G138" s="29" t="str">
        <f t="shared" si="13"/>
        <v>$126,051.97 + $157.56 + $500.00</v>
      </c>
    </row>
    <row r="139" spans="1:7" x14ac:dyDescent="0.2">
      <c r="A139" s="18">
        <f t="shared" si="7"/>
        <v>127</v>
      </c>
      <c r="B139" s="19">
        <f t="shared" si="8"/>
        <v>10.583333333333334</v>
      </c>
      <c r="C139" s="20">
        <f t="shared" si="9"/>
        <v>126709.53374048194</v>
      </c>
      <c r="D139" s="20">
        <f t="shared" si="10"/>
        <v>158.38691717560241</v>
      </c>
      <c r="E139" s="20">
        <f t="shared" si="11"/>
        <v>500</v>
      </c>
      <c r="F139" s="20">
        <f t="shared" si="12"/>
        <v>127367.92065765755</v>
      </c>
      <c r="G139" s="21" t="str">
        <f t="shared" si="13"/>
        <v>$126,709.53 + $158.39 + $500.00</v>
      </c>
    </row>
    <row r="140" spans="1:7" x14ac:dyDescent="0.2">
      <c r="A140" s="26">
        <f t="shared" si="7"/>
        <v>128</v>
      </c>
      <c r="B140" s="27">
        <f t="shared" si="8"/>
        <v>10.666666666666666</v>
      </c>
      <c r="C140" s="28">
        <f t="shared" si="9"/>
        <v>127367.92065765755</v>
      </c>
      <c r="D140" s="28">
        <f t="shared" si="10"/>
        <v>159.20990082207194</v>
      </c>
      <c r="E140" s="28">
        <f t="shared" si="11"/>
        <v>500</v>
      </c>
      <c r="F140" s="28">
        <f t="shared" si="12"/>
        <v>128027.13055847962</v>
      </c>
      <c r="G140" s="29" t="str">
        <f t="shared" si="13"/>
        <v>$127,367.92 + $159.21 + $500.00</v>
      </c>
    </row>
    <row r="141" spans="1:7" x14ac:dyDescent="0.2">
      <c r="A141" s="18">
        <f t="shared" si="7"/>
        <v>129</v>
      </c>
      <c r="B141" s="19">
        <f t="shared" si="8"/>
        <v>10.75</v>
      </c>
      <c r="C141" s="20">
        <f t="shared" si="9"/>
        <v>128027.13055847962</v>
      </c>
      <c r="D141" s="20">
        <f t="shared" si="10"/>
        <v>160.03391319809953</v>
      </c>
      <c r="E141" s="20">
        <f t="shared" si="11"/>
        <v>500</v>
      </c>
      <c r="F141" s="20">
        <f t="shared" si="12"/>
        <v>128687.16447167772</v>
      </c>
      <c r="G141" s="21" t="str">
        <f t="shared" si="13"/>
        <v>$128,027.13 + $160.03 + $500.00</v>
      </c>
    </row>
    <row r="142" spans="1:7" x14ac:dyDescent="0.2">
      <c r="A142" s="26">
        <f t="shared" ref="A142:A205" si="14">A141+1</f>
        <v>130</v>
      </c>
      <c r="B142" s="27">
        <f t="shared" ref="B142:B205" si="15">A142/12</f>
        <v>10.833333333333334</v>
      </c>
      <c r="C142" s="28">
        <f t="shared" ref="C142:C205" si="16">F141</f>
        <v>128687.16447167772</v>
      </c>
      <c r="D142" s="28">
        <f t="shared" ref="D142:D205" si="17">C142*$B$7/12</f>
        <v>160.85895558959714</v>
      </c>
      <c r="E142" s="28">
        <f t="shared" ref="E142:E205" si="18">$B$6</f>
        <v>500</v>
      </c>
      <c r="F142" s="28">
        <f t="shared" ref="F142:F205" si="19">C142+D142+E142</f>
        <v>129348.02342726733</v>
      </c>
      <c r="G142" s="29" t="str">
        <f t="shared" ref="G142:G205" si="20">TEXT(C142,"$#,##0.00")&amp;" + "&amp;TEXT(D142,"$#,##0.00")&amp;" + "&amp;TEXT(E142,"$#,##0.00")</f>
        <v>$128,687.16 + $160.86 + $500.00</v>
      </c>
    </row>
    <row r="143" spans="1:7" x14ac:dyDescent="0.2">
      <c r="A143" s="18">
        <f t="shared" si="14"/>
        <v>131</v>
      </c>
      <c r="B143" s="19">
        <f t="shared" si="15"/>
        <v>10.916666666666666</v>
      </c>
      <c r="C143" s="20">
        <f t="shared" si="16"/>
        <v>129348.02342726733</v>
      </c>
      <c r="D143" s="20">
        <f t="shared" si="17"/>
        <v>161.68502928408415</v>
      </c>
      <c r="E143" s="20">
        <f t="shared" si="18"/>
        <v>500</v>
      </c>
      <c r="F143" s="20">
        <f t="shared" si="19"/>
        <v>130009.70845655141</v>
      </c>
      <c r="G143" s="21" t="str">
        <f t="shared" si="20"/>
        <v>$129,348.02 + $161.69 + $500.00</v>
      </c>
    </row>
    <row r="144" spans="1:7" x14ac:dyDescent="0.2">
      <c r="A144" s="26">
        <f t="shared" si="14"/>
        <v>132</v>
      </c>
      <c r="B144" s="27">
        <f t="shared" si="15"/>
        <v>11</v>
      </c>
      <c r="C144" s="28">
        <f t="shared" si="16"/>
        <v>130009.70845655141</v>
      </c>
      <c r="D144" s="28">
        <f t="shared" si="17"/>
        <v>162.51213557068925</v>
      </c>
      <c r="E144" s="28">
        <f t="shared" si="18"/>
        <v>500</v>
      </c>
      <c r="F144" s="28">
        <f t="shared" si="19"/>
        <v>130672.2205921221</v>
      </c>
      <c r="G144" s="29" t="str">
        <f t="shared" si="20"/>
        <v>$130,009.71 + $162.51 + $500.00</v>
      </c>
    </row>
    <row r="145" spans="1:7" x14ac:dyDescent="0.2">
      <c r="A145" s="18">
        <f t="shared" si="14"/>
        <v>133</v>
      </c>
      <c r="B145" s="19">
        <f t="shared" si="15"/>
        <v>11.083333333333334</v>
      </c>
      <c r="C145" s="20">
        <f t="shared" si="16"/>
        <v>130672.2205921221</v>
      </c>
      <c r="D145" s="20">
        <f t="shared" si="17"/>
        <v>163.34027574015263</v>
      </c>
      <c r="E145" s="20">
        <f t="shared" si="18"/>
        <v>500</v>
      </c>
      <c r="F145" s="20">
        <f t="shared" si="19"/>
        <v>131335.56086786225</v>
      </c>
      <c r="G145" s="21" t="str">
        <f t="shared" si="20"/>
        <v>$130,672.22 + $163.34 + $500.00</v>
      </c>
    </row>
    <row r="146" spans="1:7" x14ac:dyDescent="0.2">
      <c r="A146" s="26">
        <f t="shared" si="14"/>
        <v>134</v>
      </c>
      <c r="B146" s="27">
        <f t="shared" si="15"/>
        <v>11.166666666666666</v>
      </c>
      <c r="C146" s="28">
        <f t="shared" si="16"/>
        <v>131335.56086786225</v>
      </c>
      <c r="D146" s="28">
        <f t="shared" si="17"/>
        <v>164.16945108482781</v>
      </c>
      <c r="E146" s="28">
        <f t="shared" si="18"/>
        <v>500</v>
      </c>
      <c r="F146" s="28">
        <f t="shared" si="19"/>
        <v>131999.73031894708</v>
      </c>
      <c r="G146" s="29" t="str">
        <f t="shared" si="20"/>
        <v>$131,335.56 + $164.17 + $500.00</v>
      </c>
    </row>
    <row r="147" spans="1:7" x14ac:dyDescent="0.2">
      <c r="A147" s="18">
        <f t="shared" si="14"/>
        <v>135</v>
      </c>
      <c r="B147" s="19">
        <f t="shared" si="15"/>
        <v>11.25</v>
      </c>
      <c r="C147" s="20">
        <f t="shared" si="16"/>
        <v>131999.73031894708</v>
      </c>
      <c r="D147" s="20">
        <f t="shared" si="17"/>
        <v>164.99966289868385</v>
      </c>
      <c r="E147" s="20">
        <f t="shared" si="18"/>
        <v>500</v>
      </c>
      <c r="F147" s="20">
        <f t="shared" si="19"/>
        <v>132664.72998184577</v>
      </c>
      <c r="G147" s="21" t="str">
        <f t="shared" si="20"/>
        <v>$131,999.73 + $165.00 + $500.00</v>
      </c>
    </row>
    <row r="148" spans="1:7" x14ac:dyDescent="0.2">
      <c r="A148" s="26">
        <f t="shared" si="14"/>
        <v>136</v>
      </c>
      <c r="B148" s="27">
        <f t="shared" si="15"/>
        <v>11.333333333333334</v>
      </c>
      <c r="C148" s="28">
        <f t="shared" si="16"/>
        <v>132664.72998184577</v>
      </c>
      <c r="D148" s="28">
        <f t="shared" si="17"/>
        <v>165.83091247730721</v>
      </c>
      <c r="E148" s="28">
        <f t="shared" si="18"/>
        <v>500</v>
      </c>
      <c r="F148" s="28">
        <f t="shared" si="19"/>
        <v>133330.56089432308</v>
      </c>
      <c r="G148" s="29" t="str">
        <f t="shared" si="20"/>
        <v>$132,664.73 + $165.83 + $500.00</v>
      </c>
    </row>
    <row r="149" spans="1:7" x14ac:dyDescent="0.2">
      <c r="A149" s="18">
        <f t="shared" si="14"/>
        <v>137</v>
      </c>
      <c r="B149" s="19">
        <f t="shared" si="15"/>
        <v>11.416666666666666</v>
      </c>
      <c r="C149" s="20">
        <f t="shared" si="16"/>
        <v>133330.56089432308</v>
      </c>
      <c r="D149" s="20">
        <f t="shared" si="17"/>
        <v>166.66320111790384</v>
      </c>
      <c r="E149" s="20">
        <f t="shared" si="18"/>
        <v>500</v>
      </c>
      <c r="F149" s="20">
        <f t="shared" si="19"/>
        <v>133997.22409544099</v>
      </c>
      <c r="G149" s="21" t="str">
        <f t="shared" si="20"/>
        <v>$133,330.56 + $166.66 + $500.00</v>
      </c>
    </row>
    <row r="150" spans="1:7" x14ac:dyDescent="0.2">
      <c r="A150" s="26">
        <f t="shared" si="14"/>
        <v>138</v>
      </c>
      <c r="B150" s="27">
        <f t="shared" si="15"/>
        <v>11.5</v>
      </c>
      <c r="C150" s="28">
        <f t="shared" si="16"/>
        <v>133997.22409544099</v>
      </c>
      <c r="D150" s="28">
        <f t="shared" si="17"/>
        <v>167.49653011930124</v>
      </c>
      <c r="E150" s="28">
        <f t="shared" si="18"/>
        <v>500</v>
      </c>
      <c r="F150" s="28">
        <f t="shared" si="19"/>
        <v>134664.72062556029</v>
      </c>
      <c r="G150" s="29" t="str">
        <f t="shared" si="20"/>
        <v>$133,997.22 + $167.50 + $500.00</v>
      </c>
    </row>
    <row r="151" spans="1:7" x14ac:dyDescent="0.2">
      <c r="A151" s="18">
        <f t="shared" si="14"/>
        <v>139</v>
      </c>
      <c r="B151" s="19">
        <f t="shared" si="15"/>
        <v>11.583333333333334</v>
      </c>
      <c r="C151" s="20">
        <f t="shared" si="16"/>
        <v>134664.72062556029</v>
      </c>
      <c r="D151" s="20">
        <f t="shared" si="17"/>
        <v>168.33090078195036</v>
      </c>
      <c r="E151" s="20">
        <f t="shared" si="18"/>
        <v>500</v>
      </c>
      <c r="F151" s="20">
        <f t="shared" si="19"/>
        <v>135333.05152634226</v>
      </c>
      <c r="G151" s="21" t="str">
        <f t="shared" si="20"/>
        <v>$134,664.72 + $168.33 + $500.00</v>
      </c>
    </row>
    <row r="152" spans="1:7" x14ac:dyDescent="0.2">
      <c r="A152" s="26">
        <f t="shared" si="14"/>
        <v>140</v>
      </c>
      <c r="B152" s="27">
        <f t="shared" si="15"/>
        <v>11.666666666666666</v>
      </c>
      <c r="C152" s="28">
        <f t="shared" si="16"/>
        <v>135333.05152634226</v>
      </c>
      <c r="D152" s="28">
        <f t="shared" si="17"/>
        <v>169.16631440792781</v>
      </c>
      <c r="E152" s="28">
        <f t="shared" si="18"/>
        <v>500</v>
      </c>
      <c r="F152" s="28">
        <f t="shared" si="19"/>
        <v>136002.21784075018</v>
      </c>
      <c r="G152" s="29" t="str">
        <f t="shared" si="20"/>
        <v>$135,333.05 + $169.17 + $500.00</v>
      </c>
    </row>
    <row r="153" spans="1:7" x14ac:dyDescent="0.2">
      <c r="A153" s="18">
        <f t="shared" si="14"/>
        <v>141</v>
      </c>
      <c r="B153" s="19">
        <f t="shared" si="15"/>
        <v>11.75</v>
      </c>
      <c r="C153" s="20">
        <f t="shared" si="16"/>
        <v>136002.21784075018</v>
      </c>
      <c r="D153" s="20">
        <f t="shared" si="17"/>
        <v>170.00277230093772</v>
      </c>
      <c r="E153" s="20">
        <f t="shared" si="18"/>
        <v>500</v>
      </c>
      <c r="F153" s="20">
        <f t="shared" si="19"/>
        <v>136672.22061305112</v>
      </c>
      <c r="G153" s="21" t="str">
        <f t="shared" si="20"/>
        <v>$136,002.22 + $170.00 + $500.00</v>
      </c>
    </row>
    <row r="154" spans="1:7" x14ac:dyDescent="0.2">
      <c r="A154" s="26">
        <f t="shared" si="14"/>
        <v>142</v>
      </c>
      <c r="B154" s="27">
        <f t="shared" si="15"/>
        <v>11.833333333333334</v>
      </c>
      <c r="C154" s="28">
        <f t="shared" si="16"/>
        <v>136672.22061305112</v>
      </c>
      <c r="D154" s="28">
        <f t="shared" si="17"/>
        <v>170.84027576631388</v>
      </c>
      <c r="E154" s="28">
        <f t="shared" si="18"/>
        <v>500</v>
      </c>
      <c r="F154" s="28">
        <f t="shared" si="19"/>
        <v>137343.06088881745</v>
      </c>
      <c r="G154" s="29" t="str">
        <f t="shared" si="20"/>
        <v>$136,672.22 + $170.84 + $500.00</v>
      </c>
    </row>
    <row r="155" spans="1:7" x14ac:dyDescent="0.2">
      <c r="A155" s="18">
        <f t="shared" si="14"/>
        <v>143</v>
      </c>
      <c r="B155" s="19">
        <f t="shared" si="15"/>
        <v>11.916666666666666</v>
      </c>
      <c r="C155" s="20">
        <f t="shared" si="16"/>
        <v>137343.06088881745</v>
      </c>
      <c r="D155" s="20">
        <f t="shared" si="17"/>
        <v>171.67882611102178</v>
      </c>
      <c r="E155" s="20">
        <f t="shared" si="18"/>
        <v>500</v>
      </c>
      <c r="F155" s="20">
        <f t="shared" si="19"/>
        <v>138014.73971492847</v>
      </c>
      <c r="G155" s="21" t="str">
        <f t="shared" si="20"/>
        <v>$137,343.06 + $171.68 + $500.00</v>
      </c>
    </row>
    <row r="156" spans="1:7" x14ac:dyDescent="0.2">
      <c r="A156" s="26">
        <f t="shared" si="14"/>
        <v>144</v>
      </c>
      <c r="B156" s="27">
        <f t="shared" si="15"/>
        <v>12</v>
      </c>
      <c r="C156" s="28">
        <f t="shared" si="16"/>
        <v>138014.73971492847</v>
      </c>
      <c r="D156" s="28">
        <f t="shared" si="17"/>
        <v>172.51842464366055</v>
      </c>
      <c r="E156" s="28">
        <f t="shared" si="18"/>
        <v>500</v>
      </c>
      <c r="F156" s="28">
        <f t="shared" si="19"/>
        <v>138687.25813957214</v>
      </c>
      <c r="G156" s="29" t="str">
        <f t="shared" si="20"/>
        <v>$138,014.74 + $172.52 + $500.00</v>
      </c>
    </row>
    <row r="157" spans="1:7" x14ac:dyDescent="0.2">
      <c r="A157" s="18">
        <f t="shared" si="14"/>
        <v>145</v>
      </c>
      <c r="B157" s="19">
        <f t="shared" si="15"/>
        <v>12.083333333333334</v>
      </c>
      <c r="C157" s="20">
        <f t="shared" si="16"/>
        <v>138687.25813957214</v>
      </c>
      <c r="D157" s="20">
        <f t="shared" si="17"/>
        <v>173.35907267446518</v>
      </c>
      <c r="E157" s="20">
        <f t="shared" si="18"/>
        <v>500</v>
      </c>
      <c r="F157" s="20">
        <f t="shared" si="19"/>
        <v>139360.61721224661</v>
      </c>
      <c r="G157" s="21" t="str">
        <f t="shared" si="20"/>
        <v>$138,687.26 + $173.36 + $500.00</v>
      </c>
    </row>
    <row r="158" spans="1:7" x14ac:dyDescent="0.2">
      <c r="A158" s="26">
        <f t="shared" si="14"/>
        <v>146</v>
      </c>
      <c r="B158" s="27">
        <f t="shared" si="15"/>
        <v>12.166666666666666</v>
      </c>
      <c r="C158" s="28">
        <f t="shared" si="16"/>
        <v>139360.61721224661</v>
      </c>
      <c r="D158" s="28">
        <f t="shared" si="17"/>
        <v>174.20077151530825</v>
      </c>
      <c r="E158" s="28">
        <f t="shared" si="18"/>
        <v>500</v>
      </c>
      <c r="F158" s="28">
        <f t="shared" si="19"/>
        <v>140034.81798376192</v>
      </c>
      <c r="G158" s="29" t="str">
        <f t="shared" si="20"/>
        <v>$139,360.62 + $174.20 + $500.00</v>
      </c>
    </row>
    <row r="159" spans="1:7" x14ac:dyDescent="0.2">
      <c r="A159" s="18">
        <f t="shared" si="14"/>
        <v>147</v>
      </c>
      <c r="B159" s="19">
        <f t="shared" si="15"/>
        <v>12.25</v>
      </c>
      <c r="C159" s="20">
        <f t="shared" si="16"/>
        <v>140034.81798376192</v>
      </c>
      <c r="D159" s="20">
        <f t="shared" si="17"/>
        <v>175.04352247970237</v>
      </c>
      <c r="E159" s="20">
        <f t="shared" si="18"/>
        <v>500</v>
      </c>
      <c r="F159" s="20">
        <f t="shared" si="19"/>
        <v>140709.86150624164</v>
      </c>
      <c r="G159" s="21" t="str">
        <f t="shared" si="20"/>
        <v>$140,034.82 + $175.04 + $500.00</v>
      </c>
    </row>
    <row r="160" spans="1:7" x14ac:dyDescent="0.2">
      <c r="A160" s="26">
        <f t="shared" si="14"/>
        <v>148</v>
      </c>
      <c r="B160" s="27">
        <f t="shared" si="15"/>
        <v>12.333333333333334</v>
      </c>
      <c r="C160" s="28">
        <f t="shared" si="16"/>
        <v>140709.86150624164</v>
      </c>
      <c r="D160" s="28">
        <f t="shared" si="17"/>
        <v>175.88732688280206</v>
      </c>
      <c r="E160" s="28">
        <f t="shared" si="18"/>
        <v>500</v>
      </c>
      <c r="F160" s="28">
        <f t="shared" si="19"/>
        <v>141385.74883312444</v>
      </c>
      <c r="G160" s="29" t="str">
        <f t="shared" si="20"/>
        <v>$140,709.86 + $175.89 + $500.00</v>
      </c>
    </row>
    <row r="161" spans="1:7" x14ac:dyDescent="0.2">
      <c r="A161" s="18">
        <f t="shared" si="14"/>
        <v>149</v>
      </c>
      <c r="B161" s="19">
        <f t="shared" si="15"/>
        <v>12.416666666666666</v>
      </c>
      <c r="C161" s="20">
        <f t="shared" si="16"/>
        <v>141385.74883312444</v>
      </c>
      <c r="D161" s="20">
        <f t="shared" si="17"/>
        <v>176.73218604140553</v>
      </c>
      <c r="E161" s="20">
        <f t="shared" si="18"/>
        <v>500</v>
      </c>
      <c r="F161" s="20">
        <f t="shared" si="19"/>
        <v>142062.48101916583</v>
      </c>
      <c r="G161" s="21" t="str">
        <f t="shared" si="20"/>
        <v>$141,385.75 + $176.73 + $500.00</v>
      </c>
    </row>
    <row r="162" spans="1:7" x14ac:dyDescent="0.2">
      <c r="A162" s="26">
        <f t="shared" si="14"/>
        <v>150</v>
      </c>
      <c r="B162" s="27">
        <f t="shared" si="15"/>
        <v>12.5</v>
      </c>
      <c r="C162" s="28">
        <f t="shared" si="16"/>
        <v>142062.48101916583</v>
      </c>
      <c r="D162" s="28">
        <f t="shared" si="17"/>
        <v>177.57810127395729</v>
      </c>
      <c r="E162" s="28">
        <f t="shared" si="18"/>
        <v>500</v>
      </c>
      <c r="F162" s="28">
        <f t="shared" si="19"/>
        <v>142740.05912043978</v>
      </c>
      <c r="G162" s="29" t="str">
        <f t="shared" si="20"/>
        <v>$142,062.48 + $177.58 + $500.00</v>
      </c>
    </row>
    <row r="163" spans="1:7" x14ac:dyDescent="0.2">
      <c r="A163" s="18">
        <f t="shared" si="14"/>
        <v>151</v>
      </c>
      <c r="B163" s="19">
        <f t="shared" si="15"/>
        <v>12.583333333333334</v>
      </c>
      <c r="C163" s="20">
        <f t="shared" si="16"/>
        <v>142740.05912043978</v>
      </c>
      <c r="D163" s="20">
        <f t="shared" si="17"/>
        <v>178.42507390054971</v>
      </c>
      <c r="E163" s="20">
        <f t="shared" si="18"/>
        <v>500</v>
      </c>
      <c r="F163" s="20">
        <f t="shared" si="19"/>
        <v>143418.48419434033</v>
      </c>
      <c r="G163" s="21" t="str">
        <f t="shared" si="20"/>
        <v>$142,740.06 + $178.43 + $500.00</v>
      </c>
    </row>
    <row r="164" spans="1:7" x14ac:dyDescent="0.2">
      <c r="A164" s="26">
        <f t="shared" si="14"/>
        <v>152</v>
      </c>
      <c r="B164" s="27">
        <f t="shared" si="15"/>
        <v>12.666666666666666</v>
      </c>
      <c r="C164" s="28">
        <f t="shared" si="16"/>
        <v>143418.48419434033</v>
      </c>
      <c r="D164" s="28">
        <f t="shared" si="17"/>
        <v>179.27310524292542</v>
      </c>
      <c r="E164" s="28">
        <f t="shared" si="18"/>
        <v>500</v>
      </c>
      <c r="F164" s="28">
        <f t="shared" si="19"/>
        <v>144097.75729958326</v>
      </c>
      <c r="G164" s="29" t="str">
        <f t="shared" si="20"/>
        <v>$143,418.48 + $179.27 + $500.00</v>
      </c>
    </row>
    <row r="165" spans="1:7" x14ac:dyDescent="0.2">
      <c r="A165" s="18">
        <f t="shared" si="14"/>
        <v>153</v>
      </c>
      <c r="B165" s="19">
        <f t="shared" si="15"/>
        <v>12.75</v>
      </c>
      <c r="C165" s="20">
        <f t="shared" si="16"/>
        <v>144097.75729958326</v>
      </c>
      <c r="D165" s="20">
        <f t="shared" si="17"/>
        <v>180.12219662447907</v>
      </c>
      <c r="E165" s="20">
        <f t="shared" si="18"/>
        <v>500</v>
      </c>
      <c r="F165" s="20">
        <f t="shared" si="19"/>
        <v>144777.87949620775</v>
      </c>
      <c r="G165" s="21" t="str">
        <f t="shared" si="20"/>
        <v>$144,097.76 + $180.12 + $500.00</v>
      </c>
    </row>
    <row r="166" spans="1:7" x14ac:dyDescent="0.2">
      <c r="A166" s="26">
        <f t="shared" si="14"/>
        <v>154</v>
      </c>
      <c r="B166" s="27">
        <f t="shared" si="15"/>
        <v>12.833333333333334</v>
      </c>
      <c r="C166" s="28">
        <f t="shared" si="16"/>
        <v>144777.87949620775</v>
      </c>
      <c r="D166" s="28">
        <f t="shared" si="17"/>
        <v>180.97234937025971</v>
      </c>
      <c r="E166" s="28">
        <f t="shared" si="18"/>
        <v>500</v>
      </c>
      <c r="F166" s="28">
        <f t="shared" si="19"/>
        <v>145458.851845578</v>
      </c>
      <c r="G166" s="29" t="str">
        <f t="shared" si="20"/>
        <v>$144,777.88 + $180.97 + $500.00</v>
      </c>
    </row>
    <row r="167" spans="1:7" x14ac:dyDescent="0.2">
      <c r="A167" s="18">
        <f t="shared" si="14"/>
        <v>155</v>
      </c>
      <c r="B167" s="19">
        <f t="shared" si="15"/>
        <v>12.916666666666666</v>
      </c>
      <c r="C167" s="20">
        <f t="shared" si="16"/>
        <v>145458.851845578</v>
      </c>
      <c r="D167" s="20">
        <f t="shared" si="17"/>
        <v>181.82356480697248</v>
      </c>
      <c r="E167" s="20">
        <f t="shared" si="18"/>
        <v>500</v>
      </c>
      <c r="F167" s="20">
        <f t="shared" si="19"/>
        <v>146140.67541038498</v>
      </c>
      <c r="G167" s="21" t="str">
        <f t="shared" si="20"/>
        <v>$145,458.85 + $181.82 + $500.00</v>
      </c>
    </row>
    <row r="168" spans="1:7" x14ac:dyDescent="0.2">
      <c r="A168" s="26">
        <f t="shared" si="14"/>
        <v>156</v>
      </c>
      <c r="B168" s="27">
        <f t="shared" si="15"/>
        <v>13</v>
      </c>
      <c r="C168" s="28">
        <f t="shared" si="16"/>
        <v>146140.67541038498</v>
      </c>
      <c r="D168" s="28">
        <f t="shared" si="17"/>
        <v>182.6758442629812</v>
      </c>
      <c r="E168" s="28">
        <f t="shared" si="18"/>
        <v>500</v>
      </c>
      <c r="F168" s="28">
        <f t="shared" si="19"/>
        <v>146823.35125464798</v>
      </c>
      <c r="G168" s="29" t="str">
        <f t="shared" si="20"/>
        <v>$146,140.68 + $182.68 + $500.00</v>
      </c>
    </row>
    <row r="169" spans="1:7" x14ac:dyDescent="0.2">
      <c r="A169" s="18">
        <f t="shared" si="14"/>
        <v>157</v>
      </c>
      <c r="B169" s="19">
        <f t="shared" si="15"/>
        <v>13.083333333333334</v>
      </c>
      <c r="C169" s="20">
        <f t="shared" si="16"/>
        <v>146823.35125464798</v>
      </c>
      <c r="D169" s="20">
        <f t="shared" si="17"/>
        <v>183.52918906830996</v>
      </c>
      <c r="E169" s="20">
        <f t="shared" si="18"/>
        <v>500</v>
      </c>
      <c r="F169" s="20">
        <f t="shared" si="19"/>
        <v>147506.88044371628</v>
      </c>
      <c r="G169" s="21" t="str">
        <f t="shared" si="20"/>
        <v>$146,823.35 + $183.53 + $500.00</v>
      </c>
    </row>
    <row r="170" spans="1:7" x14ac:dyDescent="0.2">
      <c r="A170" s="26">
        <f t="shared" si="14"/>
        <v>158</v>
      </c>
      <c r="B170" s="27">
        <f t="shared" si="15"/>
        <v>13.166666666666666</v>
      </c>
      <c r="C170" s="28">
        <f t="shared" si="16"/>
        <v>147506.88044371628</v>
      </c>
      <c r="D170" s="28">
        <f t="shared" si="17"/>
        <v>184.38360055464534</v>
      </c>
      <c r="E170" s="28">
        <f t="shared" si="18"/>
        <v>500</v>
      </c>
      <c r="F170" s="28">
        <f t="shared" si="19"/>
        <v>148191.26404427091</v>
      </c>
      <c r="G170" s="29" t="str">
        <f t="shared" si="20"/>
        <v>$147,506.88 + $184.38 + $500.00</v>
      </c>
    </row>
    <row r="171" spans="1:7" x14ac:dyDescent="0.2">
      <c r="A171" s="18">
        <f t="shared" si="14"/>
        <v>159</v>
      </c>
      <c r="B171" s="19">
        <f t="shared" si="15"/>
        <v>13.25</v>
      </c>
      <c r="C171" s="20">
        <f t="shared" si="16"/>
        <v>148191.26404427091</v>
      </c>
      <c r="D171" s="20">
        <f t="shared" si="17"/>
        <v>185.23908005533863</v>
      </c>
      <c r="E171" s="20">
        <f t="shared" si="18"/>
        <v>500</v>
      </c>
      <c r="F171" s="20">
        <f t="shared" si="19"/>
        <v>148876.50312432623</v>
      </c>
      <c r="G171" s="21" t="str">
        <f t="shared" si="20"/>
        <v>$148,191.26 + $185.24 + $500.00</v>
      </c>
    </row>
    <row r="172" spans="1:7" x14ac:dyDescent="0.2">
      <c r="A172" s="26">
        <f t="shared" si="14"/>
        <v>160</v>
      </c>
      <c r="B172" s="27">
        <f t="shared" si="15"/>
        <v>13.333333333333334</v>
      </c>
      <c r="C172" s="28">
        <f t="shared" si="16"/>
        <v>148876.50312432623</v>
      </c>
      <c r="D172" s="28">
        <f t="shared" si="17"/>
        <v>186.09562890540778</v>
      </c>
      <c r="E172" s="28">
        <f t="shared" si="18"/>
        <v>500</v>
      </c>
      <c r="F172" s="28">
        <f t="shared" si="19"/>
        <v>149562.59875323164</v>
      </c>
      <c r="G172" s="29" t="str">
        <f t="shared" si="20"/>
        <v>$148,876.50 + $186.10 + $500.00</v>
      </c>
    </row>
    <row r="173" spans="1:7" x14ac:dyDescent="0.2">
      <c r="A173" s="18">
        <f t="shared" si="14"/>
        <v>161</v>
      </c>
      <c r="B173" s="19">
        <f t="shared" si="15"/>
        <v>13.416666666666666</v>
      </c>
      <c r="C173" s="20">
        <f t="shared" si="16"/>
        <v>149562.59875323164</v>
      </c>
      <c r="D173" s="20">
        <f t="shared" si="17"/>
        <v>186.95324844153956</v>
      </c>
      <c r="E173" s="20">
        <f t="shared" si="18"/>
        <v>500</v>
      </c>
      <c r="F173" s="20">
        <f t="shared" si="19"/>
        <v>150249.55200167318</v>
      </c>
      <c r="G173" s="21" t="str">
        <f t="shared" si="20"/>
        <v>$149,562.60 + $186.95 + $500.00</v>
      </c>
    </row>
    <row r="174" spans="1:7" x14ac:dyDescent="0.2">
      <c r="A174" s="26">
        <f t="shared" si="14"/>
        <v>162</v>
      </c>
      <c r="B174" s="27">
        <f t="shared" si="15"/>
        <v>13.5</v>
      </c>
      <c r="C174" s="28">
        <f t="shared" si="16"/>
        <v>150249.55200167318</v>
      </c>
      <c r="D174" s="28">
        <f t="shared" si="17"/>
        <v>187.81194000209146</v>
      </c>
      <c r="E174" s="28">
        <f t="shared" si="18"/>
        <v>500</v>
      </c>
      <c r="F174" s="28">
        <f t="shared" si="19"/>
        <v>150937.36394167526</v>
      </c>
      <c r="G174" s="29" t="str">
        <f t="shared" si="20"/>
        <v>$150,249.55 + $187.81 + $500.00</v>
      </c>
    </row>
    <row r="175" spans="1:7" x14ac:dyDescent="0.2">
      <c r="A175" s="18">
        <f t="shared" si="14"/>
        <v>163</v>
      </c>
      <c r="B175" s="19">
        <f t="shared" si="15"/>
        <v>13.583333333333334</v>
      </c>
      <c r="C175" s="20">
        <f t="shared" si="16"/>
        <v>150937.36394167526</v>
      </c>
      <c r="D175" s="20">
        <f t="shared" si="17"/>
        <v>188.67170492709405</v>
      </c>
      <c r="E175" s="20">
        <f t="shared" si="18"/>
        <v>500</v>
      </c>
      <c r="F175" s="20">
        <f t="shared" si="19"/>
        <v>151626.03564660234</v>
      </c>
      <c r="G175" s="21" t="str">
        <f t="shared" si="20"/>
        <v>$150,937.36 + $188.67 + $500.00</v>
      </c>
    </row>
    <row r="176" spans="1:7" x14ac:dyDescent="0.2">
      <c r="A176" s="26">
        <f t="shared" si="14"/>
        <v>164</v>
      </c>
      <c r="B176" s="27">
        <f t="shared" si="15"/>
        <v>13.666666666666666</v>
      </c>
      <c r="C176" s="28">
        <f t="shared" si="16"/>
        <v>151626.03564660234</v>
      </c>
      <c r="D176" s="28">
        <f t="shared" si="17"/>
        <v>189.53254455825291</v>
      </c>
      <c r="E176" s="28">
        <f t="shared" si="18"/>
        <v>500</v>
      </c>
      <c r="F176" s="28">
        <f t="shared" si="19"/>
        <v>152315.56819116059</v>
      </c>
      <c r="G176" s="29" t="str">
        <f t="shared" si="20"/>
        <v>$151,626.04 + $189.53 + $500.00</v>
      </c>
    </row>
    <row r="177" spans="1:7" x14ac:dyDescent="0.2">
      <c r="A177" s="18">
        <f t="shared" si="14"/>
        <v>165</v>
      </c>
      <c r="B177" s="19">
        <f t="shared" si="15"/>
        <v>13.75</v>
      </c>
      <c r="C177" s="20">
        <f t="shared" si="16"/>
        <v>152315.56819116059</v>
      </c>
      <c r="D177" s="20">
        <f t="shared" si="17"/>
        <v>190.39446023895073</v>
      </c>
      <c r="E177" s="20">
        <f t="shared" si="18"/>
        <v>500</v>
      </c>
      <c r="F177" s="20">
        <f t="shared" si="19"/>
        <v>153005.96265139955</v>
      </c>
      <c r="G177" s="21" t="str">
        <f t="shared" si="20"/>
        <v>$152,315.57 + $190.39 + $500.00</v>
      </c>
    </row>
    <row r="178" spans="1:7" x14ac:dyDescent="0.2">
      <c r="A178" s="26">
        <f t="shared" si="14"/>
        <v>166</v>
      </c>
      <c r="B178" s="27">
        <f t="shared" si="15"/>
        <v>13.833333333333334</v>
      </c>
      <c r="C178" s="28">
        <f t="shared" si="16"/>
        <v>153005.96265139955</v>
      </c>
      <c r="D178" s="28">
        <f t="shared" si="17"/>
        <v>191.25745331424943</v>
      </c>
      <c r="E178" s="28">
        <f t="shared" si="18"/>
        <v>500</v>
      </c>
      <c r="F178" s="28">
        <f t="shared" si="19"/>
        <v>153697.22010471381</v>
      </c>
      <c r="G178" s="29" t="str">
        <f t="shared" si="20"/>
        <v>$153,005.96 + $191.26 + $500.00</v>
      </c>
    </row>
    <row r="179" spans="1:7" x14ac:dyDescent="0.2">
      <c r="A179" s="18">
        <f t="shared" si="14"/>
        <v>167</v>
      </c>
      <c r="B179" s="19">
        <f t="shared" si="15"/>
        <v>13.916666666666666</v>
      </c>
      <c r="C179" s="20">
        <f t="shared" si="16"/>
        <v>153697.22010471381</v>
      </c>
      <c r="D179" s="20">
        <f t="shared" si="17"/>
        <v>192.12152513089225</v>
      </c>
      <c r="E179" s="20">
        <f t="shared" si="18"/>
        <v>500</v>
      </c>
      <c r="F179" s="20">
        <f t="shared" si="19"/>
        <v>154389.34162984471</v>
      </c>
      <c r="G179" s="21" t="str">
        <f t="shared" si="20"/>
        <v>$153,697.22 + $192.12 + $500.00</v>
      </c>
    </row>
    <row r="180" spans="1:7" x14ac:dyDescent="0.2">
      <c r="A180" s="26">
        <f t="shared" si="14"/>
        <v>168</v>
      </c>
      <c r="B180" s="27">
        <f t="shared" si="15"/>
        <v>14</v>
      </c>
      <c r="C180" s="28">
        <f t="shared" si="16"/>
        <v>154389.34162984471</v>
      </c>
      <c r="D180" s="28">
        <f t="shared" si="17"/>
        <v>192.98667703730587</v>
      </c>
      <c r="E180" s="28">
        <f t="shared" si="18"/>
        <v>500</v>
      </c>
      <c r="F180" s="28">
        <f t="shared" si="19"/>
        <v>155082.32830688203</v>
      </c>
      <c r="G180" s="29" t="str">
        <f t="shared" si="20"/>
        <v>$154,389.34 + $192.99 + $500.00</v>
      </c>
    </row>
    <row r="181" spans="1:7" x14ac:dyDescent="0.2">
      <c r="A181" s="18">
        <f t="shared" si="14"/>
        <v>169</v>
      </c>
      <c r="B181" s="19">
        <f t="shared" si="15"/>
        <v>14.083333333333334</v>
      </c>
      <c r="C181" s="20">
        <f t="shared" si="16"/>
        <v>155082.32830688203</v>
      </c>
      <c r="D181" s="20">
        <f t="shared" si="17"/>
        <v>193.85291038360253</v>
      </c>
      <c r="E181" s="20">
        <f t="shared" si="18"/>
        <v>500</v>
      </c>
      <c r="F181" s="20">
        <f t="shared" si="19"/>
        <v>155776.18121726564</v>
      </c>
      <c r="G181" s="21" t="str">
        <f t="shared" si="20"/>
        <v>$155,082.33 + $193.85 + $500.00</v>
      </c>
    </row>
    <row r="182" spans="1:7" x14ac:dyDescent="0.2">
      <c r="A182" s="26">
        <f t="shared" si="14"/>
        <v>170</v>
      </c>
      <c r="B182" s="27">
        <f t="shared" si="15"/>
        <v>14.166666666666666</v>
      </c>
      <c r="C182" s="28">
        <f t="shared" si="16"/>
        <v>155776.18121726564</v>
      </c>
      <c r="D182" s="28">
        <f t="shared" si="17"/>
        <v>194.72022652158205</v>
      </c>
      <c r="E182" s="28">
        <f t="shared" si="18"/>
        <v>500</v>
      </c>
      <c r="F182" s="28">
        <f t="shared" si="19"/>
        <v>156470.90144378721</v>
      </c>
      <c r="G182" s="29" t="str">
        <f t="shared" si="20"/>
        <v>$155,776.18 + $194.72 + $500.00</v>
      </c>
    </row>
    <row r="183" spans="1:7" x14ac:dyDescent="0.2">
      <c r="A183" s="18">
        <f t="shared" si="14"/>
        <v>171</v>
      </c>
      <c r="B183" s="19">
        <f t="shared" si="15"/>
        <v>14.25</v>
      </c>
      <c r="C183" s="20">
        <f t="shared" si="16"/>
        <v>156470.90144378721</v>
      </c>
      <c r="D183" s="20">
        <f t="shared" si="17"/>
        <v>195.58862680473399</v>
      </c>
      <c r="E183" s="20">
        <f t="shared" si="18"/>
        <v>500</v>
      </c>
      <c r="F183" s="20">
        <f t="shared" si="19"/>
        <v>157166.49007059194</v>
      </c>
      <c r="G183" s="21" t="str">
        <f t="shared" si="20"/>
        <v>$156,470.90 + $195.59 + $500.00</v>
      </c>
    </row>
    <row r="184" spans="1:7" x14ac:dyDescent="0.2">
      <c r="A184" s="26">
        <f t="shared" si="14"/>
        <v>172</v>
      </c>
      <c r="B184" s="27">
        <f t="shared" si="15"/>
        <v>14.333333333333334</v>
      </c>
      <c r="C184" s="28">
        <f t="shared" si="16"/>
        <v>157166.49007059194</v>
      </c>
      <c r="D184" s="28">
        <f t="shared" si="17"/>
        <v>196.45811258823991</v>
      </c>
      <c r="E184" s="28">
        <f t="shared" si="18"/>
        <v>500</v>
      </c>
      <c r="F184" s="28">
        <f t="shared" si="19"/>
        <v>157862.94818318018</v>
      </c>
      <c r="G184" s="29" t="str">
        <f t="shared" si="20"/>
        <v>$157,166.49 + $196.46 + $500.00</v>
      </c>
    </row>
    <row r="185" spans="1:7" x14ac:dyDescent="0.2">
      <c r="A185" s="18">
        <f t="shared" si="14"/>
        <v>173</v>
      </c>
      <c r="B185" s="19">
        <f t="shared" si="15"/>
        <v>14.416666666666666</v>
      </c>
      <c r="C185" s="20">
        <f t="shared" si="16"/>
        <v>157862.94818318018</v>
      </c>
      <c r="D185" s="20">
        <f t="shared" si="17"/>
        <v>197.32868522897522</v>
      </c>
      <c r="E185" s="20">
        <f t="shared" si="18"/>
        <v>500</v>
      </c>
      <c r="F185" s="20">
        <f t="shared" si="19"/>
        <v>158560.27686840916</v>
      </c>
      <c r="G185" s="21" t="str">
        <f t="shared" si="20"/>
        <v>$157,862.95 + $197.33 + $500.00</v>
      </c>
    </row>
    <row r="186" spans="1:7" x14ac:dyDescent="0.2">
      <c r="A186" s="26">
        <f t="shared" si="14"/>
        <v>174</v>
      </c>
      <c r="B186" s="27">
        <f t="shared" si="15"/>
        <v>14.5</v>
      </c>
      <c r="C186" s="28">
        <f t="shared" si="16"/>
        <v>158560.27686840916</v>
      </c>
      <c r="D186" s="28">
        <f t="shared" si="17"/>
        <v>198.20034608551146</v>
      </c>
      <c r="E186" s="28">
        <f t="shared" si="18"/>
        <v>500</v>
      </c>
      <c r="F186" s="28">
        <f t="shared" si="19"/>
        <v>159258.47721449466</v>
      </c>
      <c r="G186" s="29" t="str">
        <f t="shared" si="20"/>
        <v>$158,560.28 + $198.20 + $500.00</v>
      </c>
    </row>
    <row r="187" spans="1:7" x14ac:dyDescent="0.2">
      <c r="A187" s="18">
        <f t="shared" si="14"/>
        <v>175</v>
      </c>
      <c r="B187" s="19">
        <f t="shared" si="15"/>
        <v>14.583333333333334</v>
      </c>
      <c r="C187" s="20">
        <f t="shared" si="16"/>
        <v>159258.47721449466</v>
      </c>
      <c r="D187" s="20">
        <f t="shared" si="17"/>
        <v>199.07309651811832</v>
      </c>
      <c r="E187" s="20">
        <f t="shared" si="18"/>
        <v>500</v>
      </c>
      <c r="F187" s="20">
        <f t="shared" si="19"/>
        <v>159957.55031101278</v>
      </c>
      <c r="G187" s="21" t="str">
        <f t="shared" si="20"/>
        <v>$159,258.48 + $199.07 + $500.00</v>
      </c>
    </row>
    <row r="188" spans="1:7" x14ac:dyDescent="0.2">
      <c r="A188" s="26">
        <f t="shared" si="14"/>
        <v>176</v>
      </c>
      <c r="B188" s="27">
        <f t="shared" si="15"/>
        <v>14.666666666666666</v>
      </c>
      <c r="C188" s="28">
        <f t="shared" si="16"/>
        <v>159957.55031101278</v>
      </c>
      <c r="D188" s="28">
        <f t="shared" si="17"/>
        <v>199.94693788876597</v>
      </c>
      <c r="E188" s="28">
        <f t="shared" si="18"/>
        <v>500</v>
      </c>
      <c r="F188" s="28">
        <f t="shared" si="19"/>
        <v>160657.49724890155</v>
      </c>
      <c r="G188" s="29" t="str">
        <f t="shared" si="20"/>
        <v>$159,957.55 + $199.95 + $500.00</v>
      </c>
    </row>
    <row r="189" spans="1:7" x14ac:dyDescent="0.2">
      <c r="A189" s="18">
        <f t="shared" si="14"/>
        <v>177</v>
      </c>
      <c r="B189" s="19">
        <f t="shared" si="15"/>
        <v>14.75</v>
      </c>
      <c r="C189" s="20">
        <f t="shared" si="16"/>
        <v>160657.49724890155</v>
      </c>
      <c r="D189" s="20">
        <f t="shared" si="17"/>
        <v>200.82187156112693</v>
      </c>
      <c r="E189" s="20">
        <f t="shared" si="18"/>
        <v>500</v>
      </c>
      <c r="F189" s="20">
        <f t="shared" si="19"/>
        <v>161358.31912046266</v>
      </c>
      <c r="G189" s="21" t="str">
        <f t="shared" si="20"/>
        <v>$160,657.50 + $200.82 + $500.00</v>
      </c>
    </row>
    <row r="190" spans="1:7" x14ac:dyDescent="0.2">
      <c r="A190" s="26">
        <f t="shared" si="14"/>
        <v>178</v>
      </c>
      <c r="B190" s="27">
        <f t="shared" si="15"/>
        <v>14.833333333333334</v>
      </c>
      <c r="C190" s="28">
        <f t="shared" si="16"/>
        <v>161358.31912046266</v>
      </c>
      <c r="D190" s="28">
        <f t="shared" si="17"/>
        <v>201.69789890057834</v>
      </c>
      <c r="E190" s="28">
        <f t="shared" si="18"/>
        <v>500</v>
      </c>
      <c r="F190" s="28">
        <f t="shared" si="19"/>
        <v>162060.01701936324</v>
      </c>
      <c r="G190" s="29" t="str">
        <f t="shared" si="20"/>
        <v>$161,358.32 + $201.70 + $500.00</v>
      </c>
    </row>
    <row r="191" spans="1:7" x14ac:dyDescent="0.2">
      <c r="A191" s="18">
        <f t="shared" si="14"/>
        <v>179</v>
      </c>
      <c r="B191" s="19">
        <f t="shared" si="15"/>
        <v>14.916666666666666</v>
      </c>
      <c r="C191" s="20">
        <f t="shared" si="16"/>
        <v>162060.01701936324</v>
      </c>
      <c r="D191" s="20">
        <f t="shared" si="17"/>
        <v>202.57502127420403</v>
      </c>
      <c r="E191" s="20">
        <f t="shared" si="18"/>
        <v>500</v>
      </c>
      <c r="F191" s="20">
        <f t="shared" si="19"/>
        <v>162762.59204063745</v>
      </c>
      <c r="G191" s="21" t="str">
        <f t="shared" si="20"/>
        <v>$162,060.02 + $202.58 + $500.00</v>
      </c>
    </row>
    <row r="192" spans="1:7" x14ac:dyDescent="0.2">
      <c r="A192" s="26">
        <f t="shared" si="14"/>
        <v>180</v>
      </c>
      <c r="B192" s="27">
        <f t="shared" si="15"/>
        <v>15</v>
      </c>
      <c r="C192" s="28">
        <f t="shared" si="16"/>
        <v>162762.59204063745</v>
      </c>
      <c r="D192" s="28">
        <f t="shared" si="17"/>
        <v>203.45324005079681</v>
      </c>
      <c r="E192" s="28">
        <f t="shared" si="18"/>
        <v>500</v>
      </c>
      <c r="F192" s="28">
        <f t="shared" si="19"/>
        <v>163466.04528068824</v>
      </c>
      <c r="G192" s="29" t="str">
        <f t="shared" si="20"/>
        <v>$162,762.59 + $203.45 + $500.00</v>
      </c>
    </row>
    <row r="193" spans="1:7" x14ac:dyDescent="0.2">
      <c r="A193" s="18">
        <f t="shared" si="14"/>
        <v>181</v>
      </c>
      <c r="B193" s="19">
        <f t="shared" si="15"/>
        <v>15.083333333333334</v>
      </c>
      <c r="C193" s="20">
        <f t="shared" si="16"/>
        <v>163466.04528068824</v>
      </c>
      <c r="D193" s="20">
        <f t="shared" si="17"/>
        <v>204.33255660086027</v>
      </c>
      <c r="E193" s="20">
        <f t="shared" si="18"/>
        <v>500</v>
      </c>
      <c r="F193" s="20">
        <f t="shared" si="19"/>
        <v>164170.3778372891</v>
      </c>
      <c r="G193" s="21" t="str">
        <f t="shared" si="20"/>
        <v>$163,466.05 + $204.33 + $500.00</v>
      </c>
    </row>
    <row r="194" spans="1:7" x14ac:dyDescent="0.2">
      <c r="A194" s="26">
        <f t="shared" si="14"/>
        <v>182</v>
      </c>
      <c r="B194" s="27">
        <f t="shared" si="15"/>
        <v>15.166666666666666</v>
      </c>
      <c r="C194" s="28">
        <f t="shared" si="16"/>
        <v>164170.3778372891</v>
      </c>
      <c r="D194" s="28">
        <f t="shared" si="17"/>
        <v>205.21297229661135</v>
      </c>
      <c r="E194" s="28">
        <f t="shared" si="18"/>
        <v>500</v>
      </c>
      <c r="F194" s="28">
        <f t="shared" si="19"/>
        <v>164875.5908095857</v>
      </c>
      <c r="G194" s="29" t="str">
        <f t="shared" si="20"/>
        <v>$164,170.38 + $205.21 + $500.00</v>
      </c>
    </row>
    <row r="195" spans="1:7" x14ac:dyDescent="0.2">
      <c r="A195" s="18">
        <f t="shared" si="14"/>
        <v>183</v>
      </c>
      <c r="B195" s="19">
        <f t="shared" si="15"/>
        <v>15.25</v>
      </c>
      <c r="C195" s="20">
        <f t="shared" si="16"/>
        <v>164875.5908095857</v>
      </c>
      <c r="D195" s="20">
        <f t="shared" si="17"/>
        <v>206.09448851198212</v>
      </c>
      <c r="E195" s="20">
        <f t="shared" si="18"/>
        <v>500</v>
      </c>
      <c r="F195" s="20">
        <f t="shared" si="19"/>
        <v>165581.68529809767</v>
      </c>
      <c r="G195" s="21" t="str">
        <f t="shared" si="20"/>
        <v>$164,875.59 + $206.09 + $500.00</v>
      </c>
    </row>
    <row r="196" spans="1:7" x14ac:dyDescent="0.2">
      <c r="A196" s="26">
        <f t="shared" si="14"/>
        <v>184</v>
      </c>
      <c r="B196" s="27">
        <f t="shared" si="15"/>
        <v>15.333333333333334</v>
      </c>
      <c r="C196" s="28">
        <f t="shared" si="16"/>
        <v>165581.68529809767</v>
      </c>
      <c r="D196" s="28">
        <f t="shared" si="17"/>
        <v>206.97710662262207</v>
      </c>
      <c r="E196" s="28">
        <f t="shared" si="18"/>
        <v>500</v>
      </c>
      <c r="F196" s="28">
        <f t="shared" si="19"/>
        <v>166288.66240472029</v>
      </c>
      <c r="G196" s="29" t="str">
        <f t="shared" si="20"/>
        <v>$165,581.69 + $206.98 + $500.00</v>
      </c>
    </row>
    <row r="197" spans="1:7" x14ac:dyDescent="0.2">
      <c r="A197" s="18">
        <f t="shared" si="14"/>
        <v>185</v>
      </c>
      <c r="B197" s="19">
        <f t="shared" si="15"/>
        <v>15.416666666666666</v>
      </c>
      <c r="C197" s="20">
        <f t="shared" si="16"/>
        <v>166288.66240472029</v>
      </c>
      <c r="D197" s="20">
        <f t="shared" si="17"/>
        <v>207.86082800590034</v>
      </c>
      <c r="E197" s="20">
        <f t="shared" si="18"/>
        <v>500</v>
      </c>
      <c r="F197" s="20">
        <f t="shared" si="19"/>
        <v>166996.52323272621</v>
      </c>
      <c r="G197" s="21" t="str">
        <f t="shared" si="20"/>
        <v>$166,288.66 + $207.86 + $500.00</v>
      </c>
    </row>
    <row r="198" spans="1:7" x14ac:dyDescent="0.2">
      <c r="A198" s="26">
        <f t="shared" si="14"/>
        <v>186</v>
      </c>
      <c r="B198" s="27">
        <f t="shared" si="15"/>
        <v>15.5</v>
      </c>
      <c r="C198" s="28">
        <f t="shared" si="16"/>
        <v>166996.52323272621</v>
      </c>
      <c r="D198" s="28">
        <f t="shared" si="17"/>
        <v>208.74565404090777</v>
      </c>
      <c r="E198" s="28">
        <f t="shared" si="18"/>
        <v>500</v>
      </c>
      <c r="F198" s="28">
        <f t="shared" si="19"/>
        <v>167705.26888676712</v>
      </c>
      <c r="G198" s="29" t="str">
        <f t="shared" si="20"/>
        <v>$166,996.52 + $208.75 + $500.00</v>
      </c>
    </row>
    <row r="199" spans="1:7" x14ac:dyDescent="0.2">
      <c r="A199" s="18">
        <f t="shared" si="14"/>
        <v>187</v>
      </c>
      <c r="B199" s="19">
        <f t="shared" si="15"/>
        <v>15.583333333333334</v>
      </c>
      <c r="C199" s="20">
        <f t="shared" si="16"/>
        <v>167705.26888676712</v>
      </c>
      <c r="D199" s="20">
        <f t="shared" si="17"/>
        <v>209.63158610845889</v>
      </c>
      <c r="E199" s="20">
        <f t="shared" si="18"/>
        <v>500</v>
      </c>
      <c r="F199" s="20">
        <f t="shared" si="19"/>
        <v>168414.9004728756</v>
      </c>
      <c r="G199" s="21" t="str">
        <f t="shared" si="20"/>
        <v>$167,705.27 + $209.63 + $500.00</v>
      </c>
    </row>
    <row r="200" spans="1:7" x14ac:dyDescent="0.2">
      <c r="A200" s="26">
        <f t="shared" si="14"/>
        <v>188</v>
      </c>
      <c r="B200" s="27">
        <f t="shared" si="15"/>
        <v>15.666666666666666</v>
      </c>
      <c r="C200" s="28">
        <f t="shared" si="16"/>
        <v>168414.9004728756</v>
      </c>
      <c r="D200" s="28">
        <f t="shared" si="17"/>
        <v>210.51862559109449</v>
      </c>
      <c r="E200" s="28">
        <f t="shared" si="18"/>
        <v>500</v>
      </c>
      <c r="F200" s="28">
        <f t="shared" si="19"/>
        <v>169125.41909846669</v>
      </c>
      <c r="G200" s="29" t="str">
        <f t="shared" si="20"/>
        <v>$168,414.90 + $210.52 + $500.00</v>
      </c>
    </row>
    <row r="201" spans="1:7" x14ac:dyDescent="0.2">
      <c r="A201" s="18">
        <f t="shared" si="14"/>
        <v>189</v>
      </c>
      <c r="B201" s="19">
        <f t="shared" si="15"/>
        <v>15.75</v>
      </c>
      <c r="C201" s="20">
        <f t="shared" si="16"/>
        <v>169125.41909846669</v>
      </c>
      <c r="D201" s="20">
        <f t="shared" si="17"/>
        <v>211.40677387308335</v>
      </c>
      <c r="E201" s="20">
        <f t="shared" si="18"/>
        <v>500</v>
      </c>
      <c r="F201" s="20">
        <f t="shared" si="19"/>
        <v>169836.82587233977</v>
      </c>
      <c r="G201" s="21" t="str">
        <f t="shared" si="20"/>
        <v>$169,125.42 + $211.41 + $500.00</v>
      </c>
    </row>
    <row r="202" spans="1:7" x14ac:dyDescent="0.2">
      <c r="A202" s="26">
        <f t="shared" si="14"/>
        <v>190</v>
      </c>
      <c r="B202" s="27">
        <f t="shared" si="15"/>
        <v>15.833333333333334</v>
      </c>
      <c r="C202" s="28">
        <f t="shared" si="16"/>
        <v>169836.82587233977</v>
      </c>
      <c r="D202" s="28">
        <f t="shared" si="17"/>
        <v>212.29603234042472</v>
      </c>
      <c r="E202" s="28">
        <f t="shared" si="18"/>
        <v>500</v>
      </c>
      <c r="F202" s="28">
        <f t="shared" si="19"/>
        <v>170549.12190468019</v>
      </c>
      <c r="G202" s="29" t="str">
        <f t="shared" si="20"/>
        <v>$169,836.83 + $212.30 + $500.00</v>
      </c>
    </row>
    <row r="203" spans="1:7" x14ac:dyDescent="0.2">
      <c r="A203" s="18">
        <f t="shared" si="14"/>
        <v>191</v>
      </c>
      <c r="B203" s="19">
        <f t="shared" si="15"/>
        <v>15.916666666666666</v>
      </c>
      <c r="C203" s="20">
        <f t="shared" si="16"/>
        <v>170549.12190468019</v>
      </c>
      <c r="D203" s="20">
        <f t="shared" si="17"/>
        <v>213.18640238085024</v>
      </c>
      <c r="E203" s="20">
        <f t="shared" si="18"/>
        <v>500</v>
      </c>
      <c r="F203" s="20">
        <f t="shared" si="19"/>
        <v>171262.30830706103</v>
      </c>
      <c r="G203" s="21" t="str">
        <f t="shared" si="20"/>
        <v>$170,549.12 + $213.19 + $500.00</v>
      </c>
    </row>
    <row r="204" spans="1:7" x14ac:dyDescent="0.2">
      <c r="A204" s="26">
        <f t="shared" si="14"/>
        <v>192</v>
      </c>
      <c r="B204" s="27">
        <f t="shared" si="15"/>
        <v>16</v>
      </c>
      <c r="C204" s="28">
        <f t="shared" si="16"/>
        <v>171262.30830706103</v>
      </c>
      <c r="D204" s="28">
        <f t="shared" si="17"/>
        <v>214.07788538382627</v>
      </c>
      <c r="E204" s="28">
        <f t="shared" si="18"/>
        <v>500</v>
      </c>
      <c r="F204" s="28">
        <f t="shared" si="19"/>
        <v>171976.38619244486</v>
      </c>
      <c r="G204" s="29" t="str">
        <f t="shared" si="20"/>
        <v>$171,262.31 + $214.08 + $500.00</v>
      </c>
    </row>
    <row r="205" spans="1:7" x14ac:dyDescent="0.2">
      <c r="A205" s="18">
        <f t="shared" si="14"/>
        <v>193</v>
      </c>
      <c r="B205" s="19">
        <f t="shared" si="15"/>
        <v>16.083333333333332</v>
      </c>
      <c r="C205" s="20">
        <f t="shared" si="16"/>
        <v>171976.38619244486</v>
      </c>
      <c r="D205" s="20">
        <f t="shared" si="17"/>
        <v>214.97048274055604</v>
      </c>
      <c r="E205" s="20">
        <f t="shared" si="18"/>
        <v>500</v>
      </c>
      <c r="F205" s="20">
        <f t="shared" si="19"/>
        <v>172691.35667518541</v>
      </c>
      <c r="G205" s="21" t="str">
        <f t="shared" si="20"/>
        <v>$171,976.39 + $214.97 + $500.00</v>
      </c>
    </row>
    <row r="206" spans="1:7" x14ac:dyDescent="0.2">
      <c r="A206" s="26">
        <f t="shared" ref="A206:A216" si="21">A205+1</f>
        <v>194</v>
      </c>
      <c r="B206" s="27">
        <f t="shared" ref="B206:B216" si="22">A206/12</f>
        <v>16.166666666666668</v>
      </c>
      <c r="C206" s="28">
        <f t="shared" ref="C206:C216" si="23">F205</f>
        <v>172691.35667518541</v>
      </c>
      <c r="D206" s="28">
        <f t="shared" ref="D206:D216" si="24">C206*$B$7/12</f>
        <v>215.86419584398175</v>
      </c>
      <c r="E206" s="28">
        <f t="shared" ref="E206:E216" si="25">$B$6</f>
        <v>500</v>
      </c>
      <c r="F206" s="28">
        <f t="shared" ref="F206:F216" si="26">C206+D206+E206</f>
        <v>173407.22087102939</v>
      </c>
      <c r="G206" s="29" t="str">
        <f t="shared" ref="G206:G216" si="27">TEXT(C206,"$#,##0.00")&amp;" + "&amp;TEXT(D206,"$#,##0.00")&amp;" + "&amp;TEXT(E206,"$#,##0.00")</f>
        <v>$172,691.36 + $215.86 + $500.00</v>
      </c>
    </row>
    <row r="207" spans="1:7" x14ac:dyDescent="0.2">
      <c r="A207" s="18">
        <f t="shared" si="21"/>
        <v>195</v>
      </c>
      <c r="B207" s="19">
        <f t="shared" si="22"/>
        <v>16.25</v>
      </c>
      <c r="C207" s="20">
        <f t="shared" si="23"/>
        <v>173407.22087102939</v>
      </c>
      <c r="D207" s="20">
        <f t="shared" si="24"/>
        <v>216.75902608878673</v>
      </c>
      <c r="E207" s="20">
        <f t="shared" si="25"/>
        <v>500</v>
      </c>
      <c r="F207" s="20">
        <f t="shared" si="26"/>
        <v>174123.97989711817</v>
      </c>
      <c r="G207" s="21" t="str">
        <f t="shared" si="27"/>
        <v>$173,407.22 + $216.76 + $500.00</v>
      </c>
    </row>
    <row r="208" spans="1:7" x14ac:dyDescent="0.2">
      <c r="A208" s="26">
        <f t="shared" si="21"/>
        <v>196</v>
      </c>
      <c r="B208" s="27">
        <f t="shared" si="22"/>
        <v>16.333333333333332</v>
      </c>
      <c r="C208" s="28">
        <f t="shared" si="23"/>
        <v>174123.97989711817</v>
      </c>
      <c r="D208" s="28">
        <f t="shared" si="24"/>
        <v>217.65497487139771</v>
      </c>
      <c r="E208" s="28">
        <f t="shared" si="25"/>
        <v>500</v>
      </c>
      <c r="F208" s="28">
        <f t="shared" si="26"/>
        <v>174841.63487198958</v>
      </c>
      <c r="G208" s="29" t="str">
        <f t="shared" si="27"/>
        <v>$174,123.98 + $217.65 + $500.00</v>
      </c>
    </row>
    <row r="209" spans="1:7" x14ac:dyDescent="0.2">
      <c r="A209" s="18">
        <f t="shared" si="21"/>
        <v>197</v>
      </c>
      <c r="B209" s="19">
        <f t="shared" si="22"/>
        <v>16.416666666666668</v>
      </c>
      <c r="C209" s="20">
        <f t="shared" si="23"/>
        <v>174841.63487198958</v>
      </c>
      <c r="D209" s="20">
        <f t="shared" si="24"/>
        <v>218.55204358998697</v>
      </c>
      <c r="E209" s="20">
        <f t="shared" si="25"/>
        <v>500</v>
      </c>
      <c r="F209" s="20">
        <f t="shared" si="26"/>
        <v>175560.18691557957</v>
      </c>
      <c r="G209" s="21" t="str">
        <f t="shared" si="27"/>
        <v>$174,841.63 + $218.55 + $500.00</v>
      </c>
    </row>
    <row r="210" spans="1:7" x14ac:dyDescent="0.2">
      <c r="A210" s="26">
        <f t="shared" si="21"/>
        <v>198</v>
      </c>
      <c r="B210" s="27">
        <f t="shared" si="22"/>
        <v>16.5</v>
      </c>
      <c r="C210" s="28">
        <f t="shared" si="23"/>
        <v>175560.18691557957</v>
      </c>
      <c r="D210" s="28">
        <f t="shared" si="24"/>
        <v>219.45023364447445</v>
      </c>
      <c r="E210" s="28">
        <f t="shared" si="25"/>
        <v>500</v>
      </c>
      <c r="F210" s="28">
        <f t="shared" si="26"/>
        <v>176279.63714922406</v>
      </c>
      <c r="G210" s="29" t="str">
        <f t="shared" si="27"/>
        <v>$175,560.19 + $219.45 + $500.00</v>
      </c>
    </row>
    <row r="211" spans="1:7" x14ac:dyDescent="0.2">
      <c r="A211" s="18">
        <f t="shared" si="21"/>
        <v>199</v>
      </c>
      <c r="B211" s="19">
        <f t="shared" si="22"/>
        <v>16.583333333333332</v>
      </c>
      <c r="C211" s="20">
        <f t="shared" si="23"/>
        <v>176279.63714922406</v>
      </c>
      <c r="D211" s="20">
        <f t="shared" si="24"/>
        <v>220.34954643653006</v>
      </c>
      <c r="E211" s="20">
        <f t="shared" si="25"/>
        <v>500</v>
      </c>
      <c r="F211" s="20">
        <f t="shared" si="26"/>
        <v>176999.9866956606</v>
      </c>
      <c r="G211" s="21" t="str">
        <f t="shared" si="27"/>
        <v>$176,279.64 + $220.35 + $500.00</v>
      </c>
    </row>
    <row r="212" spans="1:7" x14ac:dyDescent="0.2">
      <c r="A212" s="26">
        <f t="shared" si="21"/>
        <v>200</v>
      </c>
      <c r="B212" s="27">
        <f t="shared" si="22"/>
        <v>16.666666666666668</v>
      </c>
      <c r="C212" s="28">
        <f t="shared" si="23"/>
        <v>176999.9866956606</v>
      </c>
      <c r="D212" s="28">
        <f t="shared" si="24"/>
        <v>221.24998336957574</v>
      </c>
      <c r="E212" s="28">
        <f t="shared" si="25"/>
        <v>500</v>
      </c>
      <c r="F212" s="28">
        <f t="shared" si="26"/>
        <v>177721.23667903017</v>
      </c>
      <c r="G212" s="29" t="str">
        <f t="shared" si="27"/>
        <v>$176,999.99 + $221.25 + $500.00</v>
      </c>
    </row>
    <row r="213" spans="1:7" x14ac:dyDescent="0.2">
      <c r="A213" s="18">
        <f t="shared" si="21"/>
        <v>201</v>
      </c>
      <c r="B213" s="19">
        <f t="shared" si="22"/>
        <v>16.75</v>
      </c>
      <c r="C213" s="20">
        <f t="shared" si="23"/>
        <v>177721.23667903017</v>
      </c>
      <c r="D213" s="20">
        <f t="shared" si="24"/>
        <v>222.15154584878772</v>
      </c>
      <c r="E213" s="20">
        <f t="shared" si="25"/>
        <v>500</v>
      </c>
      <c r="F213" s="20">
        <f t="shared" si="26"/>
        <v>178443.38822487896</v>
      </c>
      <c r="G213" s="21" t="str">
        <f t="shared" si="27"/>
        <v>$177,721.24 + $222.15 + $500.00</v>
      </c>
    </row>
    <row r="214" spans="1:7" x14ac:dyDescent="0.2">
      <c r="A214" s="26">
        <f t="shared" si="21"/>
        <v>202</v>
      </c>
      <c r="B214" s="27">
        <f t="shared" si="22"/>
        <v>16.833333333333332</v>
      </c>
      <c r="C214" s="28">
        <f t="shared" si="23"/>
        <v>178443.38822487896</v>
      </c>
      <c r="D214" s="28">
        <f t="shared" si="24"/>
        <v>223.0542352810987</v>
      </c>
      <c r="E214" s="28">
        <f t="shared" si="25"/>
        <v>500</v>
      </c>
      <c r="F214" s="28">
        <f t="shared" si="26"/>
        <v>179166.44246016006</v>
      </c>
      <c r="G214" s="29" t="str">
        <f t="shared" si="27"/>
        <v>$178,443.39 + $223.05 + $500.00</v>
      </c>
    </row>
    <row r="215" spans="1:7" x14ac:dyDescent="0.2">
      <c r="A215" s="18">
        <f t="shared" si="21"/>
        <v>203</v>
      </c>
      <c r="B215" s="19">
        <f t="shared" si="22"/>
        <v>16.916666666666668</v>
      </c>
      <c r="C215" s="20">
        <f t="shared" si="23"/>
        <v>179166.44246016006</v>
      </c>
      <c r="D215" s="20">
        <f t="shared" si="24"/>
        <v>223.95805307520007</v>
      </c>
      <c r="E215" s="20">
        <f t="shared" si="25"/>
        <v>500</v>
      </c>
      <c r="F215" s="20">
        <f t="shared" si="26"/>
        <v>179890.40051323528</v>
      </c>
      <c r="G215" s="21" t="str">
        <f t="shared" si="27"/>
        <v>$179,166.44 + $223.96 + $500.00</v>
      </c>
    </row>
    <row r="216" spans="1:7" x14ac:dyDescent="0.2">
      <c r="A216" s="30">
        <f t="shared" si="21"/>
        <v>204</v>
      </c>
      <c r="B216" s="31">
        <f t="shared" si="22"/>
        <v>17</v>
      </c>
      <c r="C216" s="32">
        <f t="shared" si="23"/>
        <v>179890.40051323528</v>
      </c>
      <c r="D216" s="32">
        <f t="shared" si="24"/>
        <v>224.86300064154409</v>
      </c>
      <c r="E216" s="32">
        <f t="shared" si="25"/>
        <v>500</v>
      </c>
      <c r="F216" s="32">
        <f t="shared" si="26"/>
        <v>180615.26351387682</v>
      </c>
      <c r="G216" s="33" t="str">
        <f t="shared" si="27"/>
        <v>$179,890.40 + $224.86 + $500.00</v>
      </c>
    </row>
  </sheetData>
  <mergeCells count="8">
    <mergeCell ref="A10:G10"/>
    <mergeCell ref="A1:G1"/>
    <mergeCell ref="A2:G2"/>
    <mergeCell ref="A4:G4"/>
    <mergeCell ref="D5:E5"/>
    <mergeCell ref="F5:G5"/>
    <mergeCell ref="D6:E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3738-C9AF-46DE-BEB7-6055A4391DD0}">
  <sheetPr>
    <tabColor theme="9"/>
  </sheetPr>
  <dimension ref="A1:F613"/>
  <sheetViews>
    <sheetView topLeftCell="A4" workbookViewId="0">
      <selection activeCell="B8" sqref="B8"/>
    </sheetView>
  </sheetViews>
  <sheetFormatPr defaultRowHeight="12.75" x14ac:dyDescent="0.2"/>
  <cols>
    <col min="1" max="1" width="13.28515625" customWidth="1"/>
    <col min="2" max="2" width="14.28515625" customWidth="1"/>
    <col min="3" max="6" width="21" customWidth="1"/>
  </cols>
  <sheetData>
    <row r="1" spans="1:6" ht="23.25" x14ac:dyDescent="0.35">
      <c r="A1" s="1" t="s">
        <v>35</v>
      </c>
      <c r="B1" s="1"/>
      <c r="C1" s="1"/>
      <c r="D1" s="1"/>
      <c r="E1" s="1"/>
      <c r="F1" s="1"/>
    </row>
    <row r="2" spans="1:6" x14ac:dyDescent="0.2">
      <c r="A2" s="2" t="s">
        <v>36</v>
      </c>
      <c r="B2" s="2"/>
      <c r="C2" s="2"/>
      <c r="D2" s="2"/>
      <c r="E2" s="2"/>
      <c r="F2" s="2"/>
    </row>
    <row r="4" spans="1:6" x14ac:dyDescent="0.2">
      <c r="A4" s="3" t="s">
        <v>2</v>
      </c>
      <c r="B4" s="3"/>
      <c r="C4" s="3"/>
      <c r="D4" s="3"/>
      <c r="E4" s="3"/>
      <c r="F4" s="3"/>
    </row>
    <row r="5" spans="1:6" x14ac:dyDescent="0.2">
      <c r="A5" s="4" t="s">
        <v>37</v>
      </c>
      <c r="B5" s="7">
        <v>20</v>
      </c>
      <c r="D5" s="47" t="s">
        <v>39</v>
      </c>
      <c r="E5" s="47"/>
      <c r="F5" s="47"/>
    </row>
    <row r="6" spans="1:6" x14ac:dyDescent="0.2">
      <c r="A6" s="4" t="s">
        <v>20</v>
      </c>
      <c r="B6" s="5">
        <v>3000</v>
      </c>
      <c r="D6" s="49">
        <f>-PV($B$7/12,$B$5*12,$B$6,0,0)</f>
        <v>621703.14850800938</v>
      </c>
      <c r="E6" s="48"/>
      <c r="F6" s="48"/>
    </row>
    <row r="7" spans="1:6" x14ac:dyDescent="0.2">
      <c r="A7" s="4" t="s">
        <v>38</v>
      </c>
      <c r="B7" s="6">
        <v>1.4999999999999999E-2</v>
      </c>
      <c r="D7" s="48"/>
      <c r="E7" s="48"/>
      <c r="F7" s="48"/>
    </row>
    <row r="9" spans="1:6" x14ac:dyDescent="0.2">
      <c r="A9" s="36" t="str">
        <f>"Con "&amp;TEXT(D6,"$#,##0.00")&amp;" se pueden retirar "&amp;TEXT(B6,"$#,##0.00")&amp;" por mes durante "&amp;B5&amp;" años, suponiendo un rendimiento anual de "&amp;TEXT(B7,"0.00%")&amp;"."</f>
        <v>Con $621,703.15 se pueden retirar $3,000.00 por mes durante 20 años, suponiendo un rendimiento anual de 1.50%.</v>
      </c>
      <c r="B9" s="36"/>
      <c r="C9" s="36"/>
      <c r="D9" s="36"/>
      <c r="E9" s="36"/>
      <c r="F9" s="36"/>
    </row>
    <row r="11" spans="1:6" x14ac:dyDescent="0.2">
      <c r="A11" s="3" t="s">
        <v>40</v>
      </c>
      <c r="B11" s="3"/>
      <c r="C11" s="3"/>
      <c r="D11" s="3"/>
      <c r="E11" s="3"/>
      <c r="F11" s="3"/>
    </row>
    <row r="12" spans="1:6" x14ac:dyDescent="0.2">
      <c r="A12" s="14" t="s">
        <v>10</v>
      </c>
      <c r="B12" s="14" t="s">
        <v>11</v>
      </c>
      <c r="C12" s="14" t="s">
        <v>12</v>
      </c>
      <c r="D12" s="14" t="s">
        <v>41</v>
      </c>
      <c r="E12" s="14" t="s">
        <v>23</v>
      </c>
      <c r="F12" s="14" t="s">
        <v>7</v>
      </c>
    </row>
    <row r="13" spans="1:6" x14ac:dyDescent="0.2">
      <c r="A13" s="38">
        <v>0</v>
      </c>
      <c r="B13" s="39">
        <v>0</v>
      </c>
      <c r="C13" s="40">
        <f>$D$6</f>
        <v>621703.14850800938</v>
      </c>
      <c r="D13" s="40">
        <v>0</v>
      </c>
      <c r="E13" s="40">
        <v>0</v>
      </c>
      <c r="F13" s="40">
        <f>$D$6</f>
        <v>621703.14850800938</v>
      </c>
    </row>
    <row r="14" spans="1:6" x14ac:dyDescent="0.2">
      <c r="A14" s="15">
        <f>IF(A13&lt;$B$5*12,A13+1,"")</f>
        <v>1</v>
      </c>
      <c r="B14" s="16">
        <f>IF(A14="","",A14/12)</f>
        <v>8.3333333333333329E-2</v>
      </c>
      <c r="C14" s="17">
        <f>IF(A14="","",F13)</f>
        <v>621703.14850800938</v>
      </c>
      <c r="D14" s="17">
        <f>IF(A14="","",C14*$B$7/12)</f>
        <v>777.12893563501166</v>
      </c>
      <c r="E14" s="17">
        <f>IF(A14="","",MIN($B$6,C14+D14))</f>
        <v>3000</v>
      </c>
      <c r="F14" s="17">
        <f>IF(A14="","",MAX(0,C14+D14-E14))</f>
        <v>619480.27744364436</v>
      </c>
    </row>
    <row r="15" spans="1:6" x14ac:dyDescent="0.2">
      <c r="A15" s="38">
        <f t="shared" ref="A15:A78" si="0">IF(A14&lt;$B$5*12,A14+1,"")</f>
        <v>2</v>
      </c>
      <c r="B15" s="39">
        <f t="shared" ref="B15:B78" si="1">IF(A15="","",A15/12)</f>
        <v>0.16666666666666666</v>
      </c>
      <c r="C15" s="40">
        <f t="shared" ref="C15:C78" si="2">IF(A15="","",F14)</f>
        <v>619480.27744364436</v>
      </c>
      <c r="D15" s="40">
        <f t="shared" ref="D15:D78" si="3">IF(A15="","",C15*$B$7/12)</f>
        <v>774.35034680455544</v>
      </c>
      <c r="E15" s="40">
        <f t="shared" ref="E15:E78" si="4">IF(A15="","",MIN($B$6,C15+D15))</f>
        <v>3000</v>
      </c>
      <c r="F15" s="40">
        <f t="shared" ref="F15:F78" si="5">IF(A15="","",MAX(0,C15+D15-E15))</f>
        <v>617254.62779044895</v>
      </c>
    </row>
    <row r="16" spans="1:6" x14ac:dyDescent="0.2">
      <c r="A16" s="15">
        <f t="shared" si="0"/>
        <v>3</v>
      </c>
      <c r="B16" s="16">
        <f t="shared" si="1"/>
        <v>0.25</v>
      </c>
      <c r="C16" s="17">
        <f t="shared" si="2"/>
        <v>617254.62779044895</v>
      </c>
      <c r="D16" s="17">
        <f t="shared" si="3"/>
        <v>771.56828473806115</v>
      </c>
      <c r="E16" s="17">
        <f t="shared" si="4"/>
        <v>3000</v>
      </c>
      <c r="F16" s="17">
        <f t="shared" si="5"/>
        <v>615026.19607518706</v>
      </c>
    </row>
    <row r="17" spans="1:6" x14ac:dyDescent="0.2">
      <c r="A17" s="38">
        <f t="shared" si="0"/>
        <v>4</v>
      </c>
      <c r="B17" s="39">
        <f t="shared" si="1"/>
        <v>0.33333333333333331</v>
      </c>
      <c r="C17" s="40">
        <f t="shared" si="2"/>
        <v>615026.19607518706</v>
      </c>
      <c r="D17" s="40">
        <f t="shared" si="3"/>
        <v>768.78274509398386</v>
      </c>
      <c r="E17" s="40">
        <f t="shared" si="4"/>
        <v>3000</v>
      </c>
      <c r="F17" s="40">
        <f t="shared" si="5"/>
        <v>612794.9788202811</v>
      </c>
    </row>
    <row r="18" spans="1:6" x14ac:dyDescent="0.2">
      <c r="A18" s="15">
        <f t="shared" si="0"/>
        <v>5</v>
      </c>
      <c r="B18" s="16">
        <f t="shared" si="1"/>
        <v>0.41666666666666669</v>
      </c>
      <c r="C18" s="17">
        <f t="shared" si="2"/>
        <v>612794.9788202811</v>
      </c>
      <c r="D18" s="17">
        <f t="shared" si="3"/>
        <v>765.99372352535136</v>
      </c>
      <c r="E18" s="17">
        <f t="shared" si="4"/>
        <v>3000</v>
      </c>
      <c r="F18" s="17">
        <f t="shared" si="5"/>
        <v>610560.97254380642</v>
      </c>
    </row>
    <row r="19" spans="1:6" x14ac:dyDescent="0.2">
      <c r="A19" s="38">
        <f t="shared" si="0"/>
        <v>6</v>
      </c>
      <c r="B19" s="39">
        <f t="shared" si="1"/>
        <v>0.5</v>
      </c>
      <c r="C19" s="40">
        <f t="shared" si="2"/>
        <v>610560.97254380642</v>
      </c>
      <c r="D19" s="40">
        <f t="shared" si="3"/>
        <v>763.20121567975809</v>
      </c>
      <c r="E19" s="40">
        <f t="shared" si="4"/>
        <v>3000</v>
      </c>
      <c r="F19" s="40">
        <f t="shared" si="5"/>
        <v>608324.17375948618</v>
      </c>
    </row>
    <row r="20" spans="1:6" x14ac:dyDescent="0.2">
      <c r="A20" s="15">
        <f t="shared" si="0"/>
        <v>7</v>
      </c>
      <c r="B20" s="16">
        <f t="shared" si="1"/>
        <v>0.58333333333333337</v>
      </c>
      <c r="C20" s="17">
        <f t="shared" si="2"/>
        <v>608324.17375948618</v>
      </c>
      <c r="D20" s="17">
        <f t="shared" si="3"/>
        <v>760.40521719935771</v>
      </c>
      <c r="E20" s="17">
        <f t="shared" si="4"/>
        <v>3000</v>
      </c>
      <c r="F20" s="17">
        <f t="shared" si="5"/>
        <v>606084.57897668553</v>
      </c>
    </row>
    <row r="21" spans="1:6" x14ac:dyDescent="0.2">
      <c r="A21" s="38">
        <f t="shared" si="0"/>
        <v>8</v>
      </c>
      <c r="B21" s="39">
        <f t="shared" si="1"/>
        <v>0.66666666666666663</v>
      </c>
      <c r="C21" s="40">
        <f t="shared" si="2"/>
        <v>606084.57897668553</v>
      </c>
      <c r="D21" s="40">
        <f t="shared" si="3"/>
        <v>757.60572372085687</v>
      </c>
      <c r="E21" s="40">
        <f t="shared" si="4"/>
        <v>3000</v>
      </c>
      <c r="F21" s="40">
        <f t="shared" si="5"/>
        <v>603842.18470040639</v>
      </c>
    </row>
    <row r="22" spans="1:6" x14ac:dyDescent="0.2">
      <c r="A22" s="15">
        <f t="shared" si="0"/>
        <v>9</v>
      </c>
      <c r="B22" s="16">
        <f t="shared" si="1"/>
        <v>0.75</v>
      </c>
      <c r="C22" s="17">
        <f t="shared" si="2"/>
        <v>603842.18470040639</v>
      </c>
      <c r="D22" s="17">
        <f t="shared" si="3"/>
        <v>754.80273087550802</v>
      </c>
      <c r="E22" s="17">
        <f t="shared" si="4"/>
        <v>3000</v>
      </c>
      <c r="F22" s="17">
        <f t="shared" si="5"/>
        <v>601596.98743128194</v>
      </c>
    </row>
    <row r="23" spans="1:6" x14ac:dyDescent="0.2">
      <c r="A23" s="38">
        <f t="shared" si="0"/>
        <v>10</v>
      </c>
      <c r="B23" s="39">
        <f t="shared" si="1"/>
        <v>0.83333333333333337</v>
      </c>
      <c r="C23" s="40">
        <f t="shared" si="2"/>
        <v>601596.98743128194</v>
      </c>
      <c r="D23" s="40">
        <f t="shared" si="3"/>
        <v>751.99623428910229</v>
      </c>
      <c r="E23" s="40">
        <f t="shared" si="4"/>
        <v>3000</v>
      </c>
      <c r="F23" s="40">
        <f t="shared" si="5"/>
        <v>599348.98366557108</v>
      </c>
    </row>
    <row r="24" spans="1:6" x14ac:dyDescent="0.2">
      <c r="A24" s="15">
        <f t="shared" si="0"/>
        <v>11</v>
      </c>
      <c r="B24" s="16">
        <f t="shared" si="1"/>
        <v>0.91666666666666663</v>
      </c>
      <c r="C24" s="17">
        <f t="shared" si="2"/>
        <v>599348.98366557108</v>
      </c>
      <c r="D24" s="17">
        <f t="shared" si="3"/>
        <v>749.18622958196386</v>
      </c>
      <c r="E24" s="17">
        <f t="shared" si="4"/>
        <v>3000</v>
      </c>
      <c r="F24" s="17">
        <f t="shared" si="5"/>
        <v>597098.16989515303</v>
      </c>
    </row>
    <row r="25" spans="1:6" x14ac:dyDescent="0.2">
      <c r="A25" s="38">
        <f t="shared" si="0"/>
        <v>12</v>
      </c>
      <c r="B25" s="39">
        <f t="shared" si="1"/>
        <v>1</v>
      </c>
      <c r="C25" s="40">
        <f t="shared" si="2"/>
        <v>597098.16989515303</v>
      </c>
      <c r="D25" s="40">
        <f t="shared" si="3"/>
        <v>746.37271236894128</v>
      </c>
      <c r="E25" s="40">
        <f t="shared" si="4"/>
        <v>3000</v>
      </c>
      <c r="F25" s="40">
        <f t="shared" si="5"/>
        <v>594844.54260752199</v>
      </c>
    </row>
    <row r="26" spans="1:6" x14ac:dyDescent="0.2">
      <c r="A26" s="15">
        <f t="shared" si="0"/>
        <v>13</v>
      </c>
      <c r="B26" s="16">
        <f t="shared" si="1"/>
        <v>1.0833333333333333</v>
      </c>
      <c r="C26" s="17">
        <f t="shared" si="2"/>
        <v>594844.54260752199</v>
      </c>
      <c r="D26" s="17">
        <f t="shared" si="3"/>
        <v>743.5556782594025</v>
      </c>
      <c r="E26" s="17">
        <f t="shared" si="4"/>
        <v>3000</v>
      </c>
      <c r="F26" s="17">
        <f t="shared" si="5"/>
        <v>592588.09828578134</v>
      </c>
    </row>
    <row r="27" spans="1:6" x14ac:dyDescent="0.2">
      <c r="A27" s="38">
        <f t="shared" si="0"/>
        <v>14</v>
      </c>
      <c r="B27" s="39">
        <f t="shared" si="1"/>
        <v>1.1666666666666667</v>
      </c>
      <c r="C27" s="40">
        <f t="shared" si="2"/>
        <v>592588.09828578134</v>
      </c>
      <c r="D27" s="40">
        <f t="shared" si="3"/>
        <v>740.73512285722666</v>
      </c>
      <c r="E27" s="40">
        <f t="shared" si="4"/>
        <v>3000</v>
      </c>
      <c r="F27" s="40">
        <f t="shared" si="5"/>
        <v>590328.8334086386</v>
      </c>
    </row>
    <row r="28" spans="1:6" x14ac:dyDescent="0.2">
      <c r="A28" s="15">
        <f t="shared" si="0"/>
        <v>15</v>
      </c>
      <c r="B28" s="16">
        <f t="shared" si="1"/>
        <v>1.25</v>
      </c>
      <c r="C28" s="17">
        <f t="shared" si="2"/>
        <v>590328.8334086386</v>
      </c>
      <c r="D28" s="17">
        <f t="shared" si="3"/>
        <v>737.91104176079818</v>
      </c>
      <c r="E28" s="17">
        <f t="shared" si="4"/>
        <v>3000</v>
      </c>
      <c r="F28" s="17">
        <f t="shared" si="5"/>
        <v>588066.74445039942</v>
      </c>
    </row>
    <row r="29" spans="1:6" x14ac:dyDescent="0.2">
      <c r="A29" s="38">
        <f t="shared" si="0"/>
        <v>16</v>
      </c>
      <c r="B29" s="39">
        <f t="shared" si="1"/>
        <v>1.3333333333333333</v>
      </c>
      <c r="C29" s="40">
        <f t="shared" si="2"/>
        <v>588066.74445039942</v>
      </c>
      <c r="D29" s="40">
        <f t="shared" si="3"/>
        <v>735.08343056299918</v>
      </c>
      <c r="E29" s="40">
        <f t="shared" si="4"/>
        <v>3000</v>
      </c>
      <c r="F29" s="40">
        <f t="shared" si="5"/>
        <v>585801.8278809624</v>
      </c>
    </row>
    <row r="30" spans="1:6" x14ac:dyDescent="0.2">
      <c r="A30" s="15">
        <f t="shared" si="0"/>
        <v>17</v>
      </c>
      <c r="B30" s="16">
        <f t="shared" si="1"/>
        <v>1.4166666666666667</v>
      </c>
      <c r="C30" s="17">
        <f t="shared" si="2"/>
        <v>585801.8278809624</v>
      </c>
      <c r="D30" s="17">
        <f t="shared" si="3"/>
        <v>732.25228485120294</v>
      </c>
      <c r="E30" s="17">
        <f t="shared" si="4"/>
        <v>3000</v>
      </c>
      <c r="F30" s="17">
        <f t="shared" si="5"/>
        <v>583534.08016581356</v>
      </c>
    </row>
    <row r="31" spans="1:6" x14ac:dyDescent="0.2">
      <c r="A31" s="38">
        <f t="shared" si="0"/>
        <v>18</v>
      </c>
      <c r="B31" s="39">
        <f t="shared" si="1"/>
        <v>1.5</v>
      </c>
      <c r="C31" s="40">
        <f t="shared" si="2"/>
        <v>583534.08016581356</v>
      </c>
      <c r="D31" s="40">
        <f t="shared" si="3"/>
        <v>729.4176002072669</v>
      </c>
      <c r="E31" s="40">
        <f t="shared" si="4"/>
        <v>3000</v>
      </c>
      <c r="F31" s="40">
        <f t="shared" si="5"/>
        <v>581263.49776602082</v>
      </c>
    </row>
    <row r="32" spans="1:6" x14ac:dyDescent="0.2">
      <c r="A32" s="15">
        <f t="shared" si="0"/>
        <v>19</v>
      </c>
      <c r="B32" s="16">
        <f t="shared" si="1"/>
        <v>1.5833333333333333</v>
      </c>
      <c r="C32" s="17">
        <f t="shared" si="2"/>
        <v>581263.49776602082</v>
      </c>
      <c r="D32" s="17">
        <f t="shared" si="3"/>
        <v>726.57937220752603</v>
      </c>
      <c r="E32" s="17">
        <f t="shared" si="4"/>
        <v>3000</v>
      </c>
      <c r="F32" s="17">
        <f t="shared" si="5"/>
        <v>578990.07713822834</v>
      </c>
    </row>
    <row r="33" spans="1:6" x14ac:dyDescent="0.2">
      <c r="A33" s="38">
        <f t="shared" si="0"/>
        <v>20</v>
      </c>
      <c r="B33" s="39">
        <f t="shared" si="1"/>
        <v>1.6666666666666667</v>
      </c>
      <c r="C33" s="40">
        <f t="shared" si="2"/>
        <v>578990.07713822834</v>
      </c>
      <c r="D33" s="40">
        <f t="shared" si="3"/>
        <v>723.73759642278537</v>
      </c>
      <c r="E33" s="40">
        <f t="shared" si="4"/>
        <v>3000</v>
      </c>
      <c r="F33" s="40">
        <f t="shared" si="5"/>
        <v>576713.81473465113</v>
      </c>
    </row>
    <row r="34" spans="1:6" x14ac:dyDescent="0.2">
      <c r="A34" s="15">
        <f t="shared" si="0"/>
        <v>21</v>
      </c>
      <c r="B34" s="16">
        <f t="shared" si="1"/>
        <v>1.75</v>
      </c>
      <c r="C34" s="17">
        <f t="shared" si="2"/>
        <v>576713.81473465113</v>
      </c>
      <c r="D34" s="17">
        <f t="shared" si="3"/>
        <v>720.89226841831385</v>
      </c>
      <c r="E34" s="17">
        <f t="shared" si="4"/>
        <v>3000</v>
      </c>
      <c r="F34" s="17">
        <f t="shared" si="5"/>
        <v>574434.70700306946</v>
      </c>
    </row>
    <row r="35" spans="1:6" x14ac:dyDescent="0.2">
      <c r="A35" s="38">
        <f t="shared" si="0"/>
        <v>22</v>
      </c>
      <c r="B35" s="39">
        <f t="shared" si="1"/>
        <v>1.8333333333333333</v>
      </c>
      <c r="C35" s="40">
        <f t="shared" si="2"/>
        <v>574434.70700306946</v>
      </c>
      <c r="D35" s="40">
        <f t="shared" si="3"/>
        <v>718.04338375383679</v>
      </c>
      <c r="E35" s="40">
        <f t="shared" si="4"/>
        <v>3000</v>
      </c>
      <c r="F35" s="40">
        <f t="shared" si="5"/>
        <v>572152.75038682332</v>
      </c>
    </row>
    <row r="36" spans="1:6" x14ac:dyDescent="0.2">
      <c r="A36" s="15">
        <f t="shared" si="0"/>
        <v>23</v>
      </c>
      <c r="B36" s="16">
        <f t="shared" si="1"/>
        <v>1.9166666666666667</v>
      </c>
      <c r="C36" s="17">
        <f t="shared" si="2"/>
        <v>572152.75038682332</v>
      </c>
      <c r="D36" s="17">
        <f t="shared" si="3"/>
        <v>715.19093798352912</v>
      </c>
      <c r="E36" s="17">
        <f t="shared" si="4"/>
        <v>3000</v>
      </c>
      <c r="F36" s="17">
        <f t="shared" si="5"/>
        <v>569867.94132480689</v>
      </c>
    </row>
    <row r="37" spans="1:6" x14ac:dyDescent="0.2">
      <c r="A37" s="38">
        <f t="shared" si="0"/>
        <v>24</v>
      </c>
      <c r="B37" s="39">
        <f t="shared" si="1"/>
        <v>2</v>
      </c>
      <c r="C37" s="40">
        <f t="shared" si="2"/>
        <v>569867.94132480689</v>
      </c>
      <c r="D37" s="40">
        <f t="shared" si="3"/>
        <v>712.33492665600852</v>
      </c>
      <c r="E37" s="40">
        <f t="shared" si="4"/>
        <v>3000</v>
      </c>
      <c r="F37" s="40">
        <f t="shared" si="5"/>
        <v>567580.27625146287</v>
      </c>
    </row>
    <row r="38" spans="1:6" x14ac:dyDescent="0.2">
      <c r="A38" s="15">
        <f t="shared" si="0"/>
        <v>25</v>
      </c>
      <c r="B38" s="16">
        <f t="shared" si="1"/>
        <v>2.0833333333333335</v>
      </c>
      <c r="C38" s="17">
        <f t="shared" si="2"/>
        <v>567580.27625146287</v>
      </c>
      <c r="D38" s="17">
        <f t="shared" si="3"/>
        <v>709.47534531432859</v>
      </c>
      <c r="E38" s="17">
        <f t="shared" si="4"/>
        <v>3000</v>
      </c>
      <c r="F38" s="17">
        <f t="shared" si="5"/>
        <v>565289.75159677723</v>
      </c>
    </row>
    <row r="39" spans="1:6" x14ac:dyDescent="0.2">
      <c r="A39" s="38">
        <f t="shared" si="0"/>
        <v>26</v>
      </c>
      <c r="B39" s="39">
        <f t="shared" si="1"/>
        <v>2.1666666666666665</v>
      </c>
      <c r="C39" s="40">
        <f t="shared" si="2"/>
        <v>565289.75159677723</v>
      </c>
      <c r="D39" s="40">
        <f t="shared" si="3"/>
        <v>706.61218949597151</v>
      </c>
      <c r="E39" s="40">
        <f t="shared" si="4"/>
        <v>3000</v>
      </c>
      <c r="F39" s="40">
        <f t="shared" si="5"/>
        <v>562996.36378627317</v>
      </c>
    </row>
    <row r="40" spans="1:6" x14ac:dyDescent="0.2">
      <c r="A40" s="15">
        <f t="shared" si="0"/>
        <v>27</v>
      </c>
      <c r="B40" s="16">
        <f t="shared" si="1"/>
        <v>2.25</v>
      </c>
      <c r="C40" s="17">
        <f t="shared" si="2"/>
        <v>562996.36378627317</v>
      </c>
      <c r="D40" s="17">
        <f t="shared" si="3"/>
        <v>703.74545473284149</v>
      </c>
      <c r="E40" s="17">
        <f t="shared" si="4"/>
        <v>3000</v>
      </c>
      <c r="F40" s="17">
        <f t="shared" si="5"/>
        <v>560700.10924100596</v>
      </c>
    </row>
    <row r="41" spans="1:6" x14ac:dyDescent="0.2">
      <c r="A41" s="38">
        <f t="shared" si="0"/>
        <v>28</v>
      </c>
      <c r="B41" s="39">
        <f t="shared" si="1"/>
        <v>2.3333333333333335</v>
      </c>
      <c r="C41" s="40">
        <f t="shared" si="2"/>
        <v>560700.10924100596</v>
      </c>
      <c r="D41" s="40">
        <f t="shared" si="3"/>
        <v>700.87513655125747</v>
      </c>
      <c r="E41" s="40">
        <f t="shared" si="4"/>
        <v>3000</v>
      </c>
      <c r="F41" s="40">
        <f t="shared" si="5"/>
        <v>558400.98437755718</v>
      </c>
    </row>
    <row r="42" spans="1:6" x14ac:dyDescent="0.2">
      <c r="A42" s="15">
        <f t="shared" si="0"/>
        <v>29</v>
      </c>
      <c r="B42" s="16">
        <f t="shared" si="1"/>
        <v>2.4166666666666665</v>
      </c>
      <c r="C42" s="17">
        <f t="shared" si="2"/>
        <v>558400.98437755718</v>
      </c>
      <c r="D42" s="17">
        <f t="shared" si="3"/>
        <v>698.00123047194654</v>
      </c>
      <c r="E42" s="17">
        <f t="shared" si="4"/>
        <v>3000</v>
      </c>
      <c r="F42" s="17">
        <f t="shared" si="5"/>
        <v>556098.98560802918</v>
      </c>
    </row>
    <row r="43" spans="1:6" x14ac:dyDescent="0.2">
      <c r="A43" s="38">
        <f t="shared" si="0"/>
        <v>30</v>
      </c>
      <c r="B43" s="39">
        <f t="shared" si="1"/>
        <v>2.5</v>
      </c>
      <c r="C43" s="40">
        <f t="shared" si="2"/>
        <v>556098.98560802918</v>
      </c>
      <c r="D43" s="40">
        <f t="shared" si="3"/>
        <v>695.12373201003641</v>
      </c>
      <c r="E43" s="40">
        <f t="shared" si="4"/>
        <v>3000</v>
      </c>
      <c r="F43" s="40">
        <f t="shared" si="5"/>
        <v>553794.1093400392</v>
      </c>
    </row>
    <row r="44" spans="1:6" x14ac:dyDescent="0.2">
      <c r="A44" s="15">
        <f t="shared" si="0"/>
        <v>31</v>
      </c>
      <c r="B44" s="16">
        <f t="shared" si="1"/>
        <v>2.5833333333333335</v>
      </c>
      <c r="C44" s="17">
        <f t="shared" si="2"/>
        <v>553794.1093400392</v>
      </c>
      <c r="D44" s="17">
        <f t="shared" si="3"/>
        <v>692.24263667504908</v>
      </c>
      <c r="E44" s="17">
        <f t="shared" si="4"/>
        <v>3000</v>
      </c>
      <c r="F44" s="17">
        <f t="shared" si="5"/>
        <v>551486.35197671421</v>
      </c>
    </row>
    <row r="45" spans="1:6" x14ac:dyDescent="0.2">
      <c r="A45" s="38">
        <f t="shared" si="0"/>
        <v>32</v>
      </c>
      <c r="B45" s="39">
        <f t="shared" si="1"/>
        <v>2.6666666666666665</v>
      </c>
      <c r="C45" s="40">
        <f t="shared" si="2"/>
        <v>551486.35197671421</v>
      </c>
      <c r="D45" s="40">
        <f t="shared" si="3"/>
        <v>689.35793997089274</v>
      </c>
      <c r="E45" s="40">
        <f t="shared" si="4"/>
        <v>3000</v>
      </c>
      <c r="F45" s="40">
        <f t="shared" si="5"/>
        <v>549175.70991668513</v>
      </c>
    </row>
    <row r="46" spans="1:6" x14ac:dyDescent="0.2">
      <c r="A46" s="15">
        <f t="shared" si="0"/>
        <v>33</v>
      </c>
      <c r="B46" s="16">
        <f t="shared" si="1"/>
        <v>2.75</v>
      </c>
      <c r="C46" s="17">
        <f t="shared" si="2"/>
        <v>549175.70991668513</v>
      </c>
      <c r="D46" s="17">
        <f t="shared" si="3"/>
        <v>686.46963739585635</v>
      </c>
      <c r="E46" s="17">
        <f t="shared" si="4"/>
        <v>3000</v>
      </c>
      <c r="F46" s="17">
        <f t="shared" si="5"/>
        <v>546862.17955408094</v>
      </c>
    </row>
    <row r="47" spans="1:6" x14ac:dyDescent="0.2">
      <c r="A47" s="38">
        <f t="shared" si="0"/>
        <v>34</v>
      </c>
      <c r="B47" s="39">
        <f t="shared" si="1"/>
        <v>2.8333333333333335</v>
      </c>
      <c r="C47" s="40">
        <f t="shared" si="2"/>
        <v>546862.17955408094</v>
      </c>
      <c r="D47" s="40">
        <f t="shared" si="3"/>
        <v>683.57772444260115</v>
      </c>
      <c r="E47" s="40">
        <f t="shared" si="4"/>
        <v>3000</v>
      </c>
      <c r="F47" s="40">
        <f t="shared" si="5"/>
        <v>544545.75727852352</v>
      </c>
    </row>
    <row r="48" spans="1:6" x14ac:dyDescent="0.2">
      <c r="A48" s="15">
        <f t="shared" si="0"/>
        <v>35</v>
      </c>
      <c r="B48" s="16">
        <f t="shared" si="1"/>
        <v>2.9166666666666665</v>
      </c>
      <c r="C48" s="17">
        <f t="shared" si="2"/>
        <v>544545.75727852352</v>
      </c>
      <c r="D48" s="17">
        <f t="shared" si="3"/>
        <v>680.68219659815441</v>
      </c>
      <c r="E48" s="17">
        <f t="shared" si="4"/>
        <v>3000</v>
      </c>
      <c r="F48" s="17">
        <f t="shared" si="5"/>
        <v>542226.43947512168</v>
      </c>
    </row>
    <row r="49" spans="1:6" x14ac:dyDescent="0.2">
      <c r="A49" s="38">
        <f t="shared" si="0"/>
        <v>36</v>
      </c>
      <c r="B49" s="39">
        <f t="shared" si="1"/>
        <v>3</v>
      </c>
      <c r="C49" s="40">
        <f t="shared" si="2"/>
        <v>542226.43947512168</v>
      </c>
      <c r="D49" s="40">
        <f t="shared" si="3"/>
        <v>677.78304934390201</v>
      </c>
      <c r="E49" s="40">
        <f t="shared" si="4"/>
        <v>3000</v>
      </c>
      <c r="F49" s="40">
        <f t="shared" si="5"/>
        <v>539904.22252446553</v>
      </c>
    </row>
    <row r="50" spans="1:6" x14ac:dyDescent="0.2">
      <c r="A50" s="15">
        <f t="shared" si="0"/>
        <v>37</v>
      </c>
      <c r="B50" s="16">
        <f t="shared" si="1"/>
        <v>3.0833333333333335</v>
      </c>
      <c r="C50" s="17">
        <f t="shared" si="2"/>
        <v>539904.22252446553</v>
      </c>
      <c r="D50" s="17">
        <f t="shared" si="3"/>
        <v>674.88027815558189</v>
      </c>
      <c r="E50" s="17">
        <f t="shared" si="4"/>
        <v>3000</v>
      </c>
      <c r="F50" s="17">
        <f t="shared" si="5"/>
        <v>537579.10280262108</v>
      </c>
    </row>
    <row r="51" spans="1:6" x14ac:dyDescent="0.2">
      <c r="A51" s="38">
        <f t="shared" si="0"/>
        <v>38</v>
      </c>
      <c r="B51" s="39">
        <f t="shared" si="1"/>
        <v>3.1666666666666665</v>
      </c>
      <c r="C51" s="40">
        <f t="shared" si="2"/>
        <v>537579.10280262108</v>
      </c>
      <c r="D51" s="40">
        <f t="shared" si="3"/>
        <v>671.9738785032763</v>
      </c>
      <c r="E51" s="40">
        <f t="shared" si="4"/>
        <v>3000</v>
      </c>
      <c r="F51" s="40">
        <f t="shared" si="5"/>
        <v>535251.0766811244</v>
      </c>
    </row>
    <row r="52" spans="1:6" x14ac:dyDescent="0.2">
      <c r="A52" s="15">
        <f t="shared" si="0"/>
        <v>39</v>
      </c>
      <c r="B52" s="16">
        <f t="shared" si="1"/>
        <v>3.25</v>
      </c>
      <c r="C52" s="17">
        <f t="shared" si="2"/>
        <v>535251.0766811244</v>
      </c>
      <c r="D52" s="17">
        <f t="shared" si="3"/>
        <v>669.06384585140552</v>
      </c>
      <c r="E52" s="17">
        <f t="shared" si="4"/>
        <v>3000</v>
      </c>
      <c r="F52" s="17">
        <f t="shared" si="5"/>
        <v>532920.14052697585</v>
      </c>
    </row>
    <row r="53" spans="1:6" x14ac:dyDescent="0.2">
      <c r="A53" s="38">
        <f t="shared" si="0"/>
        <v>40</v>
      </c>
      <c r="B53" s="39">
        <f t="shared" si="1"/>
        <v>3.3333333333333335</v>
      </c>
      <c r="C53" s="40">
        <f t="shared" si="2"/>
        <v>532920.14052697585</v>
      </c>
      <c r="D53" s="40">
        <f t="shared" si="3"/>
        <v>666.15017565871983</v>
      </c>
      <c r="E53" s="40">
        <f t="shared" si="4"/>
        <v>3000</v>
      </c>
      <c r="F53" s="40">
        <f t="shared" si="5"/>
        <v>530586.29070263461</v>
      </c>
    </row>
    <row r="54" spans="1:6" x14ac:dyDescent="0.2">
      <c r="A54" s="15">
        <f t="shared" si="0"/>
        <v>41</v>
      </c>
      <c r="B54" s="16">
        <f t="shared" si="1"/>
        <v>3.4166666666666665</v>
      </c>
      <c r="C54" s="17">
        <f t="shared" si="2"/>
        <v>530586.29070263461</v>
      </c>
      <c r="D54" s="17">
        <f t="shared" si="3"/>
        <v>663.23286337829325</v>
      </c>
      <c r="E54" s="17">
        <f t="shared" si="4"/>
        <v>3000</v>
      </c>
      <c r="F54" s="17">
        <f t="shared" si="5"/>
        <v>528249.52356601285</v>
      </c>
    </row>
    <row r="55" spans="1:6" x14ac:dyDescent="0.2">
      <c r="A55" s="38">
        <f t="shared" si="0"/>
        <v>42</v>
      </c>
      <c r="B55" s="39">
        <f t="shared" si="1"/>
        <v>3.5</v>
      </c>
      <c r="C55" s="40">
        <f t="shared" si="2"/>
        <v>528249.52356601285</v>
      </c>
      <c r="D55" s="40">
        <f t="shared" si="3"/>
        <v>660.31190445751611</v>
      </c>
      <c r="E55" s="40">
        <f t="shared" si="4"/>
        <v>3000</v>
      </c>
      <c r="F55" s="40">
        <f t="shared" si="5"/>
        <v>525909.83547047037</v>
      </c>
    </row>
    <row r="56" spans="1:6" x14ac:dyDescent="0.2">
      <c r="A56" s="15">
        <f t="shared" si="0"/>
        <v>43</v>
      </c>
      <c r="B56" s="16">
        <f t="shared" si="1"/>
        <v>3.5833333333333335</v>
      </c>
      <c r="C56" s="17">
        <f t="shared" si="2"/>
        <v>525909.83547047037</v>
      </c>
      <c r="D56" s="17">
        <f t="shared" si="3"/>
        <v>657.38729433808794</v>
      </c>
      <c r="E56" s="17">
        <f t="shared" si="4"/>
        <v>3000</v>
      </c>
      <c r="F56" s="17">
        <f t="shared" si="5"/>
        <v>523567.22276480845</v>
      </c>
    </row>
    <row r="57" spans="1:6" x14ac:dyDescent="0.2">
      <c r="A57" s="38">
        <f t="shared" si="0"/>
        <v>44</v>
      </c>
      <c r="B57" s="39">
        <f t="shared" si="1"/>
        <v>3.6666666666666665</v>
      </c>
      <c r="C57" s="40">
        <f t="shared" si="2"/>
        <v>523567.22276480845</v>
      </c>
      <c r="D57" s="40">
        <f t="shared" si="3"/>
        <v>654.45902845601051</v>
      </c>
      <c r="E57" s="40">
        <f t="shared" si="4"/>
        <v>3000</v>
      </c>
      <c r="F57" s="40">
        <f t="shared" si="5"/>
        <v>521221.68179326446</v>
      </c>
    </row>
    <row r="58" spans="1:6" x14ac:dyDescent="0.2">
      <c r="A58" s="15">
        <f t="shared" si="0"/>
        <v>45</v>
      </c>
      <c r="B58" s="16">
        <f t="shared" si="1"/>
        <v>3.75</v>
      </c>
      <c r="C58" s="17">
        <f t="shared" si="2"/>
        <v>521221.68179326446</v>
      </c>
      <c r="D58" s="17">
        <f t="shared" si="3"/>
        <v>651.52710224158056</v>
      </c>
      <c r="E58" s="17">
        <f t="shared" si="4"/>
        <v>3000</v>
      </c>
      <c r="F58" s="17">
        <f t="shared" si="5"/>
        <v>518873.20889550605</v>
      </c>
    </row>
    <row r="59" spans="1:6" x14ac:dyDescent="0.2">
      <c r="A59" s="38">
        <f t="shared" si="0"/>
        <v>46</v>
      </c>
      <c r="B59" s="39">
        <f t="shared" si="1"/>
        <v>3.8333333333333335</v>
      </c>
      <c r="C59" s="40">
        <f t="shared" si="2"/>
        <v>518873.20889550605</v>
      </c>
      <c r="D59" s="40">
        <f t="shared" si="3"/>
        <v>648.59151111938252</v>
      </c>
      <c r="E59" s="40">
        <f t="shared" si="4"/>
        <v>3000</v>
      </c>
      <c r="F59" s="40">
        <f t="shared" si="5"/>
        <v>516521.80040662544</v>
      </c>
    </row>
    <row r="60" spans="1:6" x14ac:dyDescent="0.2">
      <c r="A60" s="15">
        <f t="shared" si="0"/>
        <v>47</v>
      </c>
      <c r="B60" s="16">
        <f t="shared" si="1"/>
        <v>3.9166666666666665</v>
      </c>
      <c r="C60" s="17">
        <f t="shared" si="2"/>
        <v>516521.80040662544</v>
      </c>
      <c r="D60" s="17">
        <f t="shared" si="3"/>
        <v>645.65225050828178</v>
      </c>
      <c r="E60" s="17">
        <f t="shared" si="4"/>
        <v>3000</v>
      </c>
      <c r="F60" s="17">
        <f t="shared" si="5"/>
        <v>514167.45265713369</v>
      </c>
    </row>
    <row r="61" spans="1:6" x14ac:dyDescent="0.2">
      <c r="A61" s="38">
        <f t="shared" si="0"/>
        <v>48</v>
      </c>
      <c r="B61" s="39">
        <f t="shared" si="1"/>
        <v>4</v>
      </c>
      <c r="C61" s="40">
        <f t="shared" si="2"/>
        <v>514167.45265713369</v>
      </c>
      <c r="D61" s="40">
        <f t="shared" si="3"/>
        <v>642.70931582141714</v>
      </c>
      <c r="E61" s="40">
        <f t="shared" si="4"/>
        <v>3000</v>
      </c>
      <c r="F61" s="40">
        <f t="shared" si="5"/>
        <v>511810.1619729551</v>
      </c>
    </row>
    <row r="62" spans="1:6" x14ac:dyDescent="0.2">
      <c r="A62" s="15">
        <f t="shared" si="0"/>
        <v>49</v>
      </c>
      <c r="B62" s="16">
        <f t="shared" si="1"/>
        <v>4.083333333333333</v>
      </c>
      <c r="C62" s="17">
        <f t="shared" si="2"/>
        <v>511810.1619729551</v>
      </c>
      <c r="D62" s="17">
        <f t="shared" si="3"/>
        <v>639.7627024661939</v>
      </c>
      <c r="E62" s="17">
        <f t="shared" si="4"/>
        <v>3000</v>
      </c>
      <c r="F62" s="17">
        <f t="shared" si="5"/>
        <v>509449.92467542132</v>
      </c>
    </row>
    <row r="63" spans="1:6" x14ac:dyDescent="0.2">
      <c r="A63" s="38">
        <f t="shared" si="0"/>
        <v>50</v>
      </c>
      <c r="B63" s="39">
        <f t="shared" si="1"/>
        <v>4.166666666666667</v>
      </c>
      <c r="C63" s="40">
        <f t="shared" si="2"/>
        <v>509449.92467542132</v>
      </c>
      <c r="D63" s="40">
        <f t="shared" si="3"/>
        <v>636.81240584427667</v>
      </c>
      <c r="E63" s="40">
        <f t="shared" si="4"/>
        <v>3000</v>
      </c>
      <c r="F63" s="40">
        <f t="shared" si="5"/>
        <v>507086.7370812656</v>
      </c>
    </row>
    <row r="64" spans="1:6" x14ac:dyDescent="0.2">
      <c r="A64" s="15">
        <f t="shared" si="0"/>
        <v>51</v>
      </c>
      <c r="B64" s="16">
        <f t="shared" si="1"/>
        <v>4.25</v>
      </c>
      <c r="C64" s="17">
        <f t="shared" si="2"/>
        <v>507086.7370812656</v>
      </c>
      <c r="D64" s="17">
        <f t="shared" si="3"/>
        <v>633.85842135158202</v>
      </c>
      <c r="E64" s="17">
        <f t="shared" si="4"/>
        <v>3000</v>
      </c>
      <c r="F64" s="17">
        <f t="shared" si="5"/>
        <v>504720.59550261719</v>
      </c>
    </row>
    <row r="65" spans="1:6" x14ac:dyDescent="0.2">
      <c r="A65" s="38">
        <f t="shared" si="0"/>
        <v>52</v>
      </c>
      <c r="B65" s="39">
        <f t="shared" si="1"/>
        <v>4.333333333333333</v>
      </c>
      <c r="C65" s="40">
        <f t="shared" si="2"/>
        <v>504720.59550261719</v>
      </c>
      <c r="D65" s="40">
        <f t="shared" si="3"/>
        <v>630.9007443782715</v>
      </c>
      <c r="E65" s="40">
        <f t="shared" si="4"/>
        <v>3000</v>
      </c>
      <c r="F65" s="40">
        <f t="shared" si="5"/>
        <v>502351.49624699546</v>
      </c>
    </row>
    <row r="66" spans="1:6" x14ac:dyDescent="0.2">
      <c r="A66" s="15">
        <f t="shared" si="0"/>
        <v>53</v>
      </c>
      <c r="B66" s="16">
        <f t="shared" si="1"/>
        <v>4.416666666666667</v>
      </c>
      <c r="C66" s="17">
        <f t="shared" si="2"/>
        <v>502351.49624699546</v>
      </c>
      <c r="D66" s="17">
        <f t="shared" si="3"/>
        <v>627.93937030874429</v>
      </c>
      <c r="E66" s="17">
        <f t="shared" si="4"/>
        <v>3000</v>
      </c>
      <c r="F66" s="17">
        <f t="shared" si="5"/>
        <v>499979.43561730423</v>
      </c>
    </row>
    <row r="67" spans="1:6" x14ac:dyDescent="0.2">
      <c r="A67" s="38">
        <f t="shared" si="0"/>
        <v>54</v>
      </c>
      <c r="B67" s="39">
        <f t="shared" si="1"/>
        <v>4.5</v>
      </c>
      <c r="C67" s="40">
        <f t="shared" si="2"/>
        <v>499979.43561730423</v>
      </c>
      <c r="D67" s="40">
        <f t="shared" si="3"/>
        <v>624.97429452163021</v>
      </c>
      <c r="E67" s="40">
        <f t="shared" si="4"/>
        <v>3000</v>
      </c>
      <c r="F67" s="40">
        <f t="shared" si="5"/>
        <v>497604.40991182585</v>
      </c>
    </row>
    <row r="68" spans="1:6" x14ac:dyDescent="0.2">
      <c r="A68" s="15">
        <f t="shared" si="0"/>
        <v>55</v>
      </c>
      <c r="B68" s="16">
        <f t="shared" si="1"/>
        <v>4.583333333333333</v>
      </c>
      <c r="C68" s="17">
        <f t="shared" si="2"/>
        <v>497604.40991182585</v>
      </c>
      <c r="D68" s="17">
        <f t="shared" si="3"/>
        <v>622.00551238978221</v>
      </c>
      <c r="E68" s="17">
        <f t="shared" si="4"/>
        <v>3000</v>
      </c>
      <c r="F68" s="17">
        <f t="shared" si="5"/>
        <v>495226.41542421561</v>
      </c>
    </row>
    <row r="69" spans="1:6" x14ac:dyDescent="0.2">
      <c r="A69" s="38">
        <f t="shared" si="0"/>
        <v>56</v>
      </c>
      <c r="B69" s="39">
        <f t="shared" si="1"/>
        <v>4.666666666666667</v>
      </c>
      <c r="C69" s="40">
        <f t="shared" si="2"/>
        <v>495226.41542421561</v>
      </c>
      <c r="D69" s="40">
        <f t="shared" si="3"/>
        <v>619.03301928026951</v>
      </c>
      <c r="E69" s="40">
        <f t="shared" si="4"/>
        <v>3000</v>
      </c>
      <c r="F69" s="40">
        <f t="shared" si="5"/>
        <v>492845.4484434959</v>
      </c>
    </row>
    <row r="70" spans="1:6" x14ac:dyDescent="0.2">
      <c r="A70" s="15">
        <f t="shared" si="0"/>
        <v>57</v>
      </c>
      <c r="B70" s="16">
        <f t="shared" si="1"/>
        <v>4.75</v>
      </c>
      <c r="C70" s="17">
        <f t="shared" si="2"/>
        <v>492845.4484434959</v>
      </c>
      <c r="D70" s="17">
        <f t="shared" si="3"/>
        <v>616.05681055436992</v>
      </c>
      <c r="E70" s="17">
        <f t="shared" si="4"/>
        <v>3000</v>
      </c>
      <c r="F70" s="17">
        <f t="shared" si="5"/>
        <v>490461.50525405025</v>
      </c>
    </row>
    <row r="71" spans="1:6" x14ac:dyDescent="0.2">
      <c r="A71" s="38">
        <f t="shared" si="0"/>
        <v>58</v>
      </c>
      <c r="B71" s="39">
        <f t="shared" si="1"/>
        <v>4.833333333333333</v>
      </c>
      <c r="C71" s="40">
        <f t="shared" si="2"/>
        <v>490461.50525405025</v>
      </c>
      <c r="D71" s="40">
        <f t="shared" si="3"/>
        <v>613.07688156756274</v>
      </c>
      <c r="E71" s="40">
        <f t="shared" si="4"/>
        <v>3000</v>
      </c>
      <c r="F71" s="40">
        <f t="shared" si="5"/>
        <v>488074.58213561779</v>
      </c>
    </row>
    <row r="72" spans="1:6" x14ac:dyDescent="0.2">
      <c r="A72" s="15">
        <f t="shared" si="0"/>
        <v>59</v>
      </c>
      <c r="B72" s="16">
        <f t="shared" si="1"/>
        <v>4.916666666666667</v>
      </c>
      <c r="C72" s="17">
        <f t="shared" si="2"/>
        <v>488074.58213561779</v>
      </c>
      <c r="D72" s="17">
        <f t="shared" si="3"/>
        <v>610.09322766952221</v>
      </c>
      <c r="E72" s="17">
        <f t="shared" si="4"/>
        <v>3000</v>
      </c>
      <c r="F72" s="17">
        <f t="shared" si="5"/>
        <v>485684.67536328733</v>
      </c>
    </row>
    <row r="73" spans="1:6" x14ac:dyDescent="0.2">
      <c r="A73" s="38">
        <f t="shared" si="0"/>
        <v>60</v>
      </c>
      <c r="B73" s="39">
        <f t="shared" si="1"/>
        <v>5</v>
      </c>
      <c r="C73" s="40">
        <f t="shared" si="2"/>
        <v>485684.67536328733</v>
      </c>
      <c r="D73" s="40">
        <f t="shared" si="3"/>
        <v>607.10584420410908</v>
      </c>
      <c r="E73" s="40">
        <f t="shared" si="4"/>
        <v>3000</v>
      </c>
      <c r="F73" s="40">
        <f t="shared" si="5"/>
        <v>483291.78120749141</v>
      </c>
    </row>
    <row r="74" spans="1:6" x14ac:dyDescent="0.2">
      <c r="A74" s="15">
        <f t="shared" si="0"/>
        <v>61</v>
      </c>
      <c r="B74" s="16">
        <f t="shared" si="1"/>
        <v>5.083333333333333</v>
      </c>
      <c r="C74" s="17">
        <f t="shared" si="2"/>
        <v>483291.78120749141</v>
      </c>
      <c r="D74" s="17">
        <f t="shared" si="3"/>
        <v>604.11472650936423</v>
      </c>
      <c r="E74" s="17">
        <f t="shared" si="4"/>
        <v>3000</v>
      </c>
      <c r="F74" s="17">
        <f t="shared" si="5"/>
        <v>480895.89593400079</v>
      </c>
    </row>
    <row r="75" spans="1:6" x14ac:dyDescent="0.2">
      <c r="A75" s="38">
        <f t="shared" si="0"/>
        <v>62</v>
      </c>
      <c r="B75" s="39">
        <f t="shared" si="1"/>
        <v>5.166666666666667</v>
      </c>
      <c r="C75" s="40">
        <f t="shared" si="2"/>
        <v>480895.89593400079</v>
      </c>
      <c r="D75" s="40">
        <f t="shared" si="3"/>
        <v>601.11986991750098</v>
      </c>
      <c r="E75" s="40">
        <f t="shared" si="4"/>
        <v>3000</v>
      </c>
      <c r="F75" s="40">
        <f t="shared" si="5"/>
        <v>478497.0158039183</v>
      </c>
    </row>
    <row r="76" spans="1:6" x14ac:dyDescent="0.2">
      <c r="A76" s="15">
        <f t="shared" si="0"/>
        <v>63</v>
      </c>
      <c r="B76" s="16">
        <f t="shared" si="1"/>
        <v>5.25</v>
      </c>
      <c r="C76" s="17">
        <f t="shared" si="2"/>
        <v>478497.0158039183</v>
      </c>
      <c r="D76" s="17">
        <f t="shared" si="3"/>
        <v>598.12126975489787</v>
      </c>
      <c r="E76" s="17">
        <f t="shared" si="4"/>
        <v>3000</v>
      </c>
      <c r="F76" s="17">
        <f t="shared" si="5"/>
        <v>476095.13707367319</v>
      </c>
    </row>
    <row r="77" spans="1:6" x14ac:dyDescent="0.2">
      <c r="A77" s="38">
        <f t="shared" si="0"/>
        <v>64</v>
      </c>
      <c r="B77" s="39">
        <f t="shared" si="1"/>
        <v>5.333333333333333</v>
      </c>
      <c r="C77" s="40">
        <f t="shared" si="2"/>
        <v>476095.13707367319</v>
      </c>
      <c r="D77" s="40">
        <f t="shared" si="3"/>
        <v>595.11892134209154</v>
      </c>
      <c r="E77" s="40">
        <f t="shared" si="4"/>
        <v>3000</v>
      </c>
      <c r="F77" s="40">
        <f t="shared" si="5"/>
        <v>473690.25599501526</v>
      </c>
    </row>
    <row r="78" spans="1:6" x14ac:dyDescent="0.2">
      <c r="A78" s="15">
        <f t="shared" si="0"/>
        <v>65</v>
      </c>
      <c r="B78" s="16">
        <f t="shared" si="1"/>
        <v>5.416666666666667</v>
      </c>
      <c r="C78" s="17">
        <f t="shared" si="2"/>
        <v>473690.25599501526</v>
      </c>
      <c r="D78" s="17">
        <f t="shared" si="3"/>
        <v>592.11281999376899</v>
      </c>
      <c r="E78" s="17">
        <f t="shared" si="4"/>
        <v>3000</v>
      </c>
      <c r="F78" s="17">
        <f t="shared" si="5"/>
        <v>471282.36881500902</v>
      </c>
    </row>
    <row r="79" spans="1:6" x14ac:dyDescent="0.2">
      <c r="A79" s="38">
        <f t="shared" ref="A79:A142" si="6">IF(A78&lt;$B$5*12,A78+1,"")</f>
        <v>66</v>
      </c>
      <c r="B79" s="39">
        <f t="shared" ref="B79:B142" si="7">IF(A79="","",A79/12)</f>
        <v>5.5</v>
      </c>
      <c r="C79" s="40">
        <f t="shared" ref="C79:C142" si="8">IF(A79="","",F78)</f>
        <v>471282.36881500902</v>
      </c>
      <c r="D79" s="40">
        <f t="shared" ref="D79:D142" si="9">IF(A79="","",C79*$B$7/12)</f>
        <v>589.10296101876122</v>
      </c>
      <c r="E79" s="40">
        <f t="shared" ref="E79:E142" si="10">IF(A79="","",MIN($B$6,C79+D79))</f>
        <v>3000</v>
      </c>
      <c r="F79" s="40">
        <f t="shared" ref="F79:F142" si="11">IF(A79="","",MAX(0,C79+D79-E79))</f>
        <v>468871.47177602776</v>
      </c>
    </row>
    <row r="80" spans="1:6" x14ac:dyDescent="0.2">
      <c r="A80" s="15">
        <f t="shared" si="6"/>
        <v>67</v>
      </c>
      <c r="B80" s="16">
        <f t="shared" si="7"/>
        <v>5.583333333333333</v>
      </c>
      <c r="C80" s="17">
        <f t="shared" si="8"/>
        <v>468871.47177602776</v>
      </c>
      <c r="D80" s="17">
        <f t="shared" si="9"/>
        <v>586.08933972003467</v>
      </c>
      <c r="E80" s="17">
        <f t="shared" si="10"/>
        <v>3000</v>
      </c>
      <c r="F80" s="17">
        <f t="shared" si="11"/>
        <v>466457.56111574778</v>
      </c>
    </row>
    <row r="81" spans="1:6" x14ac:dyDescent="0.2">
      <c r="A81" s="38">
        <f t="shared" si="6"/>
        <v>68</v>
      </c>
      <c r="B81" s="39">
        <f t="shared" si="7"/>
        <v>5.666666666666667</v>
      </c>
      <c r="C81" s="40">
        <f t="shared" si="8"/>
        <v>466457.56111574778</v>
      </c>
      <c r="D81" s="40">
        <f t="shared" si="9"/>
        <v>583.07195139468467</v>
      </c>
      <c r="E81" s="40">
        <f t="shared" si="10"/>
        <v>3000</v>
      </c>
      <c r="F81" s="40">
        <f t="shared" si="11"/>
        <v>464040.63306714245</v>
      </c>
    </row>
    <row r="82" spans="1:6" x14ac:dyDescent="0.2">
      <c r="A82" s="15">
        <f t="shared" si="6"/>
        <v>69</v>
      </c>
      <c r="B82" s="16">
        <f t="shared" si="7"/>
        <v>5.75</v>
      </c>
      <c r="C82" s="17">
        <f t="shared" si="8"/>
        <v>464040.63306714245</v>
      </c>
      <c r="D82" s="17">
        <f t="shared" si="9"/>
        <v>580.05079133392803</v>
      </c>
      <c r="E82" s="17">
        <f t="shared" si="10"/>
        <v>3000</v>
      </c>
      <c r="F82" s="17">
        <f t="shared" si="11"/>
        <v>461620.6838584764</v>
      </c>
    </row>
    <row r="83" spans="1:6" x14ac:dyDescent="0.2">
      <c r="A83" s="38">
        <f t="shared" si="6"/>
        <v>70</v>
      </c>
      <c r="B83" s="39">
        <f t="shared" si="7"/>
        <v>5.833333333333333</v>
      </c>
      <c r="C83" s="40">
        <f t="shared" si="8"/>
        <v>461620.6838584764</v>
      </c>
      <c r="D83" s="40">
        <f t="shared" si="9"/>
        <v>577.02585482309553</v>
      </c>
      <c r="E83" s="40">
        <f t="shared" si="10"/>
        <v>3000</v>
      </c>
      <c r="F83" s="40">
        <f t="shared" si="11"/>
        <v>459197.70971329953</v>
      </c>
    </row>
    <row r="84" spans="1:6" x14ac:dyDescent="0.2">
      <c r="A84" s="15">
        <f t="shared" si="6"/>
        <v>71</v>
      </c>
      <c r="B84" s="16">
        <f t="shared" si="7"/>
        <v>5.916666666666667</v>
      </c>
      <c r="C84" s="17">
        <f t="shared" si="8"/>
        <v>459197.70971329953</v>
      </c>
      <c r="D84" s="17">
        <f t="shared" si="9"/>
        <v>573.99713714162442</v>
      </c>
      <c r="E84" s="17">
        <f t="shared" si="10"/>
        <v>3000</v>
      </c>
      <c r="F84" s="17">
        <f t="shared" si="11"/>
        <v>456771.70685044117</v>
      </c>
    </row>
    <row r="85" spans="1:6" x14ac:dyDescent="0.2">
      <c r="A85" s="38">
        <f t="shared" si="6"/>
        <v>72</v>
      </c>
      <c r="B85" s="39">
        <f t="shared" si="7"/>
        <v>6</v>
      </c>
      <c r="C85" s="40">
        <f t="shared" si="8"/>
        <v>456771.70685044117</v>
      </c>
      <c r="D85" s="40">
        <f t="shared" si="9"/>
        <v>570.96463356305151</v>
      </c>
      <c r="E85" s="40">
        <f t="shared" si="10"/>
        <v>3000</v>
      </c>
      <c r="F85" s="40">
        <f t="shared" si="11"/>
        <v>454342.67148400424</v>
      </c>
    </row>
    <row r="86" spans="1:6" x14ac:dyDescent="0.2">
      <c r="A86" s="15">
        <f t="shared" si="6"/>
        <v>73</v>
      </c>
      <c r="B86" s="16">
        <f t="shared" si="7"/>
        <v>6.083333333333333</v>
      </c>
      <c r="C86" s="17">
        <f t="shared" si="8"/>
        <v>454342.67148400424</v>
      </c>
      <c r="D86" s="17">
        <f t="shared" si="9"/>
        <v>567.92833935500528</v>
      </c>
      <c r="E86" s="17">
        <f t="shared" si="10"/>
        <v>3000</v>
      </c>
      <c r="F86" s="17">
        <f t="shared" si="11"/>
        <v>451910.59982335923</v>
      </c>
    </row>
    <row r="87" spans="1:6" x14ac:dyDescent="0.2">
      <c r="A87" s="38">
        <f t="shared" si="6"/>
        <v>74</v>
      </c>
      <c r="B87" s="39">
        <f t="shared" si="7"/>
        <v>6.166666666666667</v>
      </c>
      <c r="C87" s="40">
        <f t="shared" si="8"/>
        <v>451910.59982335923</v>
      </c>
      <c r="D87" s="40">
        <f t="shared" si="9"/>
        <v>564.88824977919899</v>
      </c>
      <c r="E87" s="40">
        <f t="shared" si="10"/>
        <v>3000</v>
      </c>
      <c r="F87" s="40">
        <f t="shared" si="11"/>
        <v>449475.4880731384</v>
      </c>
    </row>
    <row r="88" spans="1:6" x14ac:dyDescent="0.2">
      <c r="A88" s="15">
        <f t="shared" si="6"/>
        <v>75</v>
      </c>
      <c r="B88" s="16">
        <f t="shared" si="7"/>
        <v>6.25</v>
      </c>
      <c r="C88" s="17">
        <f t="shared" si="8"/>
        <v>449475.4880731384</v>
      </c>
      <c r="D88" s="17">
        <f t="shared" si="9"/>
        <v>561.84436009142303</v>
      </c>
      <c r="E88" s="17">
        <f t="shared" si="10"/>
        <v>3000</v>
      </c>
      <c r="F88" s="17">
        <f t="shared" si="11"/>
        <v>447037.33243322984</v>
      </c>
    </row>
    <row r="89" spans="1:6" x14ac:dyDescent="0.2">
      <c r="A89" s="38">
        <f t="shared" si="6"/>
        <v>76</v>
      </c>
      <c r="B89" s="39">
        <f t="shared" si="7"/>
        <v>6.333333333333333</v>
      </c>
      <c r="C89" s="40">
        <f t="shared" si="8"/>
        <v>447037.33243322984</v>
      </c>
      <c r="D89" s="40">
        <f t="shared" si="9"/>
        <v>558.79666554153721</v>
      </c>
      <c r="E89" s="40">
        <f t="shared" si="10"/>
        <v>3000</v>
      </c>
      <c r="F89" s="40">
        <f t="shared" si="11"/>
        <v>444596.12909877137</v>
      </c>
    </row>
    <row r="90" spans="1:6" x14ac:dyDescent="0.2">
      <c r="A90" s="15">
        <f t="shared" si="6"/>
        <v>77</v>
      </c>
      <c r="B90" s="16">
        <f t="shared" si="7"/>
        <v>6.416666666666667</v>
      </c>
      <c r="C90" s="17">
        <f t="shared" si="8"/>
        <v>444596.12909877137</v>
      </c>
      <c r="D90" s="17">
        <f t="shared" si="9"/>
        <v>555.74516137346416</v>
      </c>
      <c r="E90" s="17">
        <f t="shared" si="10"/>
        <v>3000</v>
      </c>
      <c r="F90" s="17">
        <f t="shared" si="11"/>
        <v>442151.87426014483</v>
      </c>
    </row>
    <row r="91" spans="1:6" x14ac:dyDescent="0.2">
      <c r="A91" s="38">
        <f t="shared" si="6"/>
        <v>78</v>
      </c>
      <c r="B91" s="39">
        <f t="shared" si="7"/>
        <v>6.5</v>
      </c>
      <c r="C91" s="40">
        <f t="shared" si="8"/>
        <v>442151.87426014483</v>
      </c>
      <c r="D91" s="40">
        <f t="shared" si="9"/>
        <v>552.68984282518102</v>
      </c>
      <c r="E91" s="40">
        <f t="shared" si="10"/>
        <v>3000</v>
      </c>
      <c r="F91" s="40">
        <f t="shared" si="11"/>
        <v>439704.56410297001</v>
      </c>
    </row>
    <row r="92" spans="1:6" x14ac:dyDescent="0.2">
      <c r="A92" s="15">
        <f t="shared" si="6"/>
        <v>79</v>
      </c>
      <c r="B92" s="16">
        <f t="shared" si="7"/>
        <v>6.583333333333333</v>
      </c>
      <c r="C92" s="17">
        <f t="shared" si="8"/>
        <v>439704.56410297001</v>
      </c>
      <c r="D92" s="17">
        <f t="shared" si="9"/>
        <v>549.63070512871252</v>
      </c>
      <c r="E92" s="17">
        <f t="shared" si="10"/>
        <v>3000</v>
      </c>
      <c r="F92" s="17">
        <f t="shared" si="11"/>
        <v>437254.19480809872</v>
      </c>
    </row>
    <row r="93" spans="1:6" x14ac:dyDescent="0.2">
      <c r="A93" s="38">
        <f t="shared" si="6"/>
        <v>80</v>
      </c>
      <c r="B93" s="39">
        <f t="shared" si="7"/>
        <v>6.666666666666667</v>
      </c>
      <c r="C93" s="40">
        <f t="shared" si="8"/>
        <v>437254.19480809872</v>
      </c>
      <c r="D93" s="40">
        <f t="shared" si="9"/>
        <v>546.56774351012336</v>
      </c>
      <c r="E93" s="40">
        <f t="shared" si="10"/>
        <v>3000</v>
      </c>
      <c r="F93" s="40">
        <f t="shared" si="11"/>
        <v>434800.76255160884</v>
      </c>
    </row>
    <row r="94" spans="1:6" x14ac:dyDescent="0.2">
      <c r="A94" s="15">
        <f t="shared" si="6"/>
        <v>81</v>
      </c>
      <c r="B94" s="16">
        <f t="shared" si="7"/>
        <v>6.75</v>
      </c>
      <c r="C94" s="17">
        <f t="shared" si="8"/>
        <v>434800.76255160884</v>
      </c>
      <c r="D94" s="17">
        <f t="shared" si="9"/>
        <v>543.50095318951105</v>
      </c>
      <c r="E94" s="17">
        <f t="shared" si="10"/>
        <v>3000</v>
      </c>
      <c r="F94" s="17">
        <f t="shared" si="11"/>
        <v>432344.26350479835</v>
      </c>
    </row>
    <row r="95" spans="1:6" x14ac:dyDescent="0.2">
      <c r="A95" s="38">
        <f t="shared" si="6"/>
        <v>82</v>
      </c>
      <c r="B95" s="39">
        <f t="shared" si="7"/>
        <v>6.833333333333333</v>
      </c>
      <c r="C95" s="40">
        <f t="shared" si="8"/>
        <v>432344.26350479835</v>
      </c>
      <c r="D95" s="40">
        <f t="shared" si="9"/>
        <v>540.43032938099793</v>
      </c>
      <c r="E95" s="40">
        <f t="shared" si="10"/>
        <v>3000</v>
      </c>
      <c r="F95" s="40">
        <f t="shared" si="11"/>
        <v>429884.69383417937</v>
      </c>
    </row>
    <row r="96" spans="1:6" x14ac:dyDescent="0.2">
      <c r="A96" s="15">
        <f t="shared" si="6"/>
        <v>83</v>
      </c>
      <c r="B96" s="16">
        <f t="shared" si="7"/>
        <v>6.916666666666667</v>
      </c>
      <c r="C96" s="17">
        <f t="shared" si="8"/>
        <v>429884.69383417937</v>
      </c>
      <c r="D96" s="17">
        <f t="shared" si="9"/>
        <v>537.35586729272416</v>
      </c>
      <c r="E96" s="17">
        <f t="shared" si="10"/>
        <v>3000</v>
      </c>
      <c r="F96" s="17">
        <f t="shared" si="11"/>
        <v>427422.0497014721</v>
      </c>
    </row>
    <row r="97" spans="1:6" x14ac:dyDescent="0.2">
      <c r="A97" s="38">
        <f t="shared" si="6"/>
        <v>84</v>
      </c>
      <c r="B97" s="39">
        <f t="shared" si="7"/>
        <v>7</v>
      </c>
      <c r="C97" s="40">
        <f t="shared" si="8"/>
        <v>427422.0497014721</v>
      </c>
      <c r="D97" s="40">
        <f t="shared" si="9"/>
        <v>534.27756212684005</v>
      </c>
      <c r="E97" s="40">
        <f t="shared" si="10"/>
        <v>3000</v>
      </c>
      <c r="F97" s="40">
        <f t="shared" si="11"/>
        <v>424956.32726359897</v>
      </c>
    </row>
    <row r="98" spans="1:6" x14ac:dyDescent="0.2">
      <c r="A98" s="15">
        <f t="shared" si="6"/>
        <v>85</v>
      </c>
      <c r="B98" s="16">
        <f t="shared" si="7"/>
        <v>7.083333333333333</v>
      </c>
      <c r="C98" s="17">
        <f t="shared" si="8"/>
        <v>424956.32726359897</v>
      </c>
      <c r="D98" s="17">
        <f t="shared" si="9"/>
        <v>531.19540907949875</v>
      </c>
      <c r="E98" s="17">
        <f t="shared" si="10"/>
        <v>3000</v>
      </c>
      <c r="F98" s="17">
        <f t="shared" si="11"/>
        <v>422487.52267267846</v>
      </c>
    </row>
    <row r="99" spans="1:6" x14ac:dyDescent="0.2">
      <c r="A99" s="38">
        <f t="shared" si="6"/>
        <v>86</v>
      </c>
      <c r="B99" s="39">
        <f t="shared" si="7"/>
        <v>7.166666666666667</v>
      </c>
      <c r="C99" s="40">
        <f t="shared" si="8"/>
        <v>422487.52267267846</v>
      </c>
      <c r="D99" s="40">
        <f t="shared" si="9"/>
        <v>528.10940334084808</v>
      </c>
      <c r="E99" s="40">
        <f t="shared" si="10"/>
        <v>3000</v>
      </c>
      <c r="F99" s="40">
        <f t="shared" si="11"/>
        <v>420015.6320760193</v>
      </c>
    </row>
    <row r="100" spans="1:6" x14ac:dyDescent="0.2">
      <c r="A100" s="15">
        <f t="shared" si="6"/>
        <v>87</v>
      </c>
      <c r="B100" s="16">
        <f t="shared" si="7"/>
        <v>7.25</v>
      </c>
      <c r="C100" s="17">
        <f t="shared" si="8"/>
        <v>420015.6320760193</v>
      </c>
      <c r="D100" s="17">
        <f t="shared" si="9"/>
        <v>525.01954009502413</v>
      </c>
      <c r="E100" s="17">
        <f t="shared" si="10"/>
        <v>3000</v>
      </c>
      <c r="F100" s="17">
        <f t="shared" si="11"/>
        <v>417540.65161611431</v>
      </c>
    </row>
    <row r="101" spans="1:6" x14ac:dyDescent="0.2">
      <c r="A101" s="38">
        <f t="shared" si="6"/>
        <v>88</v>
      </c>
      <c r="B101" s="39">
        <f t="shared" si="7"/>
        <v>7.333333333333333</v>
      </c>
      <c r="C101" s="40">
        <f t="shared" si="8"/>
        <v>417540.65161611431</v>
      </c>
      <c r="D101" s="40">
        <f t="shared" si="9"/>
        <v>521.92581452014281</v>
      </c>
      <c r="E101" s="40">
        <f t="shared" si="10"/>
        <v>3000</v>
      </c>
      <c r="F101" s="40">
        <f t="shared" si="11"/>
        <v>415062.57743063447</v>
      </c>
    </row>
    <row r="102" spans="1:6" x14ac:dyDescent="0.2">
      <c r="A102" s="15">
        <f t="shared" si="6"/>
        <v>89</v>
      </c>
      <c r="B102" s="16">
        <f t="shared" si="7"/>
        <v>7.416666666666667</v>
      </c>
      <c r="C102" s="17">
        <f t="shared" si="8"/>
        <v>415062.57743063447</v>
      </c>
      <c r="D102" s="17">
        <f t="shared" si="9"/>
        <v>518.82822178829304</v>
      </c>
      <c r="E102" s="17">
        <f t="shared" si="10"/>
        <v>3000</v>
      </c>
      <c r="F102" s="17">
        <f t="shared" si="11"/>
        <v>412581.40565242275</v>
      </c>
    </row>
    <row r="103" spans="1:6" x14ac:dyDescent="0.2">
      <c r="A103" s="38">
        <f t="shared" si="6"/>
        <v>90</v>
      </c>
      <c r="B103" s="39">
        <f t="shared" si="7"/>
        <v>7.5</v>
      </c>
      <c r="C103" s="40">
        <f t="shared" si="8"/>
        <v>412581.40565242275</v>
      </c>
      <c r="D103" s="40">
        <f t="shared" si="9"/>
        <v>515.72675706552843</v>
      </c>
      <c r="E103" s="40">
        <f t="shared" si="10"/>
        <v>3000</v>
      </c>
      <c r="F103" s="40">
        <f t="shared" si="11"/>
        <v>410097.13240948826</v>
      </c>
    </row>
    <row r="104" spans="1:6" x14ac:dyDescent="0.2">
      <c r="A104" s="15">
        <f t="shared" si="6"/>
        <v>91</v>
      </c>
      <c r="B104" s="16">
        <f t="shared" si="7"/>
        <v>7.583333333333333</v>
      </c>
      <c r="C104" s="17">
        <f t="shared" si="8"/>
        <v>410097.13240948826</v>
      </c>
      <c r="D104" s="17">
        <f t="shared" si="9"/>
        <v>512.62141551186028</v>
      </c>
      <c r="E104" s="17">
        <f t="shared" si="10"/>
        <v>3000</v>
      </c>
      <c r="F104" s="17">
        <f t="shared" si="11"/>
        <v>407609.75382500014</v>
      </c>
    </row>
    <row r="105" spans="1:6" x14ac:dyDescent="0.2">
      <c r="A105" s="38">
        <f t="shared" si="6"/>
        <v>92</v>
      </c>
      <c r="B105" s="39">
        <f t="shared" si="7"/>
        <v>7.666666666666667</v>
      </c>
      <c r="C105" s="40">
        <f t="shared" si="8"/>
        <v>407609.75382500014</v>
      </c>
      <c r="D105" s="40">
        <f t="shared" si="9"/>
        <v>509.51219228125018</v>
      </c>
      <c r="E105" s="40">
        <f t="shared" si="10"/>
        <v>3000</v>
      </c>
      <c r="F105" s="40">
        <f t="shared" si="11"/>
        <v>405119.26601728139</v>
      </c>
    </row>
    <row r="106" spans="1:6" x14ac:dyDescent="0.2">
      <c r="A106" s="15">
        <f t="shared" si="6"/>
        <v>93</v>
      </c>
      <c r="B106" s="16">
        <f t="shared" si="7"/>
        <v>7.75</v>
      </c>
      <c r="C106" s="17">
        <f t="shared" si="8"/>
        <v>405119.26601728139</v>
      </c>
      <c r="D106" s="17">
        <f t="shared" si="9"/>
        <v>506.39908252160171</v>
      </c>
      <c r="E106" s="17">
        <f t="shared" si="10"/>
        <v>3000</v>
      </c>
      <c r="F106" s="17">
        <f t="shared" si="11"/>
        <v>402625.66509980301</v>
      </c>
    </row>
    <row r="107" spans="1:6" x14ac:dyDescent="0.2">
      <c r="A107" s="38">
        <f t="shared" si="6"/>
        <v>94</v>
      </c>
      <c r="B107" s="39">
        <f t="shared" si="7"/>
        <v>7.833333333333333</v>
      </c>
      <c r="C107" s="40">
        <f t="shared" si="8"/>
        <v>402625.66509980301</v>
      </c>
      <c r="D107" s="40">
        <f t="shared" si="9"/>
        <v>503.28208137475372</v>
      </c>
      <c r="E107" s="40">
        <f t="shared" si="10"/>
        <v>3000</v>
      </c>
      <c r="F107" s="40">
        <f t="shared" si="11"/>
        <v>400128.94718117779</v>
      </c>
    </row>
    <row r="108" spans="1:6" x14ac:dyDescent="0.2">
      <c r="A108" s="15">
        <f t="shared" si="6"/>
        <v>95</v>
      </c>
      <c r="B108" s="16">
        <f t="shared" si="7"/>
        <v>7.916666666666667</v>
      </c>
      <c r="C108" s="17">
        <f t="shared" si="8"/>
        <v>400128.94718117779</v>
      </c>
      <c r="D108" s="17">
        <f t="shared" si="9"/>
        <v>500.16118397647227</v>
      </c>
      <c r="E108" s="17">
        <f t="shared" si="10"/>
        <v>3000</v>
      </c>
      <c r="F108" s="17">
        <f t="shared" si="11"/>
        <v>397629.10836515424</v>
      </c>
    </row>
    <row r="109" spans="1:6" x14ac:dyDescent="0.2">
      <c r="A109" s="38">
        <f t="shared" si="6"/>
        <v>96</v>
      </c>
      <c r="B109" s="39">
        <f t="shared" si="7"/>
        <v>8</v>
      </c>
      <c r="C109" s="40">
        <f t="shared" si="8"/>
        <v>397629.10836515424</v>
      </c>
      <c r="D109" s="40">
        <f t="shared" si="9"/>
        <v>497.03638545644276</v>
      </c>
      <c r="E109" s="40">
        <f t="shared" si="10"/>
        <v>3000</v>
      </c>
      <c r="F109" s="40">
        <f t="shared" si="11"/>
        <v>395126.14475061069</v>
      </c>
    </row>
    <row r="110" spans="1:6" x14ac:dyDescent="0.2">
      <c r="A110" s="15">
        <f t="shared" si="6"/>
        <v>97</v>
      </c>
      <c r="B110" s="16">
        <f t="shared" si="7"/>
        <v>8.0833333333333339</v>
      </c>
      <c r="C110" s="17">
        <f t="shared" si="8"/>
        <v>395126.14475061069</v>
      </c>
      <c r="D110" s="17">
        <f t="shared" si="9"/>
        <v>493.90768093826335</v>
      </c>
      <c r="E110" s="17">
        <f t="shared" si="10"/>
        <v>3000</v>
      </c>
      <c r="F110" s="17">
        <f t="shared" si="11"/>
        <v>392620.05243154895</v>
      </c>
    </row>
    <row r="111" spans="1:6" x14ac:dyDescent="0.2">
      <c r="A111" s="38">
        <f t="shared" si="6"/>
        <v>98</v>
      </c>
      <c r="B111" s="39">
        <f t="shared" si="7"/>
        <v>8.1666666666666661</v>
      </c>
      <c r="C111" s="40">
        <f t="shared" si="8"/>
        <v>392620.05243154895</v>
      </c>
      <c r="D111" s="40">
        <f t="shared" si="9"/>
        <v>490.77506553943613</v>
      </c>
      <c r="E111" s="40">
        <f t="shared" si="10"/>
        <v>3000</v>
      </c>
      <c r="F111" s="40">
        <f t="shared" si="11"/>
        <v>390110.82749708841</v>
      </c>
    </row>
    <row r="112" spans="1:6" x14ac:dyDescent="0.2">
      <c r="A112" s="15">
        <f t="shared" si="6"/>
        <v>99</v>
      </c>
      <c r="B112" s="16">
        <f t="shared" si="7"/>
        <v>8.25</v>
      </c>
      <c r="C112" s="17">
        <f t="shared" si="8"/>
        <v>390110.82749708841</v>
      </c>
      <c r="D112" s="17">
        <f t="shared" si="9"/>
        <v>487.63853437136049</v>
      </c>
      <c r="E112" s="17">
        <f t="shared" si="10"/>
        <v>3000</v>
      </c>
      <c r="F112" s="17">
        <f t="shared" si="11"/>
        <v>387598.46603145974</v>
      </c>
    </row>
    <row r="113" spans="1:6" x14ac:dyDescent="0.2">
      <c r="A113" s="38">
        <f t="shared" si="6"/>
        <v>100</v>
      </c>
      <c r="B113" s="39">
        <f t="shared" si="7"/>
        <v>8.3333333333333339</v>
      </c>
      <c r="C113" s="40">
        <f t="shared" si="8"/>
        <v>387598.46603145974</v>
      </c>
      <c r="D113" s="40">
        <f t="shared" si="9"/>
        <v>484.49808253932468</v>
      </c>
      <c r="E113" s="40">
        <f t="shared" si="10"/>
        <v>3000</v>
      </c>
      <c r="F113" s="40">
        <f t="shared" si="11"/>
        <v>385082.96411399904</v>
      </c>
    </row>
    <row r="114" spans="1:6" x14ac:dyDescent="0.2">
      <c r="A114" s="15">
        <f t="shared" si="6"/>
        <v>101</v>
      </c>
      <c r="B114" s="16">
        <f t="shared" si="7"/>
        <v>8.4166666666666661</v>
      </c>
      <c r="C114" s="17">
        <f t="shared" si="8"/>
        <v>385082.96411399904</v>
      </c>
      <c r="D114" s="17">
        <f t="shared" si="9"/>
        <v>481.35370514249877</v>
      </c>
      <c r="E114" s="17">
        <f t="shared" si="10"/>
        <v>3000</v>
      </c>
      <c r="F114" s="17">
        <f t="shared" si="11"/>
        <v>382564.31781914155</v>
      </c>
    </row>
    <row r="115" spans="1:6" x14ac:dyDescent="0.2">
      <c r="A115" s="38">
        <f t="shared" si="6"/>
        <v>102</v>
      </c>
      <c r="B115" s="39">
        <f t="shared" si="7"/>
        <v>8.5</v>
      </c>
      <c r="C115" s="40">
        <f t="shared" si="8"/>
        <v>382564.31781914155</v>
      </c>
      <c r="D115" s="40">
        <f t="shared" si="9"/>
        <v>478.20539727392696</v>
      </c>
      <c r="E115" s="40">
        <f t="shared" si="10"/>
        <v>3000</v>
      </c>
      <c r="F115" s="40">
        <f t="shared" si="11"/>
        <v>380042.52321641549</v>
      </c>
    </row>
    <row r="116" spans="1:6" x14ac:dyDescent="0.2">
      <c r="A116" s="15">
        <f t="shared" si="6"/>
        <v>103</v>
      </c>
      <c r="B116" s="16">
        <f t="shared" si="7"/>
        <v>8.5833333333333339</v>
      </c>
      <c r="C116" s="17">
        <f t="shared" si="8"/>
        <v>380042.52321641549</v>
      </c>
      <c r="D116" s="17">
        <f t="shared" si="9"/>
        <v>475.05315402051934</v>
      </c>
      <c r="E116" s="17">
        <f t="shared" si="10"/>
        <v>3000</v>
      </c>
      <c r="F116" s="17">
        <f t="shared" si="11"/>
        <v>377517.576370436</v>
      </c>
    </row>
    <row r="117" spans="1:6" x14ac:dyDescent="0.2">
      <c r="A117" s="38">
        <f t="shared" si="6"/>
        <v>104</v>
      </c>
      <c r="B117" s="39">
        <f t="shared" si="7"/>
        <v>8.6666666666666661</v>
      </c>
      <c r="C117" s="40">
        <f t="shared" si="8"/>
        <v>377517.576370436</v>
      </c>
      <c r="D117" s="40">
        <f t="shared" si="9"/>
        <v>471.89697046304497</v>
      </c>
      <c r="E117" s="40">
        <f t="shared" si="10"/>
        <v>3000</v>
      </c>
      <c r="F117" s="40">
        <f t="shared" si="11"/>
        <v>374989.47334089904</v>
      </c>
    </row>
    <row r="118" spans="1:6" x14ac:dyDescent="0.2">
      <c r="A118" s="15">
        <f t="shared" si="6"/>
        <v>105</v>
      </c>
      <c r="B118" s="16">
        <f t="shared" si="7"/>
        <v>8.75</v>
      </c>
      <c r="C118" s="17">
        <f t="shared" si="8"/>
        <v>374989.47334089904</v>
      </c>
      <c r="D118" s="17">
        <f t="shared" si="9"/>
        <v>468.73684167612379</v>
      </c>
      <c r="E118" s="17">
        <f t="shared" si="10"/>
        <v>3000</v>
      </c>
      <c r="F118" s="17">
        <f t="shared" si="11"/>
        <v>372458.21018257516</v>
      </c>
    </row>
    <row r="119" spans="1:6" x14ac:dyDescent="0.2">
      <c r="A119" s="38">
        <f t="shared" si="6"/>
        <v>106</v>
      </c>
      <c r="B119" s="39">
        <f t="shared" si="7"/>
        <v>8.8333333333333339</v>
      </c>
      <c r="C119" s="40">
        <f t="shared" si="8"/>
        <v>372458.21018257516</v>
      </c>
      <c r="D119" s="40">
        <f t="shared" si="9"/>
        <v>465.57276272821895</v>
      </c>
      <c r="E119" s="40">
        <f t="shared" si="10"/>
        <v>3000</v>
      </c>
      <c r="F119" s="40">
        <f t="shared" si="11"/>
        <v>369923.78294530336</v>
      </c>
    </row>
    <row r="120" spans="1:6" x14ac:dyDescent="0.2">
      <c r="A120" s="15">
        <f t="shared" si="6"/>
        <v>107</v>
      </c>
      <c r="B120" s="16">
        <f t="shared" si="7"/>
        <v>8.9166666666666661</v>
      </c>
      <c r="C120" s="17">
        <f t="shared" si="8"/>
        <v>369923.78294530336</v>
      </c>
      <c r="D120" s="17">
        <f t="shared" si="9"/>
        <v>462.40472868162919</v>
      </c>
      <c r="E120" s="17">
        <f t="shared" si="10"/>
        <v>3000</v>
      </c>
      <c r="F120" s="17">
        <f t="shared" si="11"/>
        <v>367386.18767398497</v>
      </c>
    </row>
    <row r="121" spans="1:6" x14ac:dyDescent="0.2">
      <c r="A121" s="38">
        <f t="shared" si="6"/>
        <v>108</v>
      </c>
      <c r="B121" s="39">
        <f t="shared" si="7"/>
        <v>9</v>
      </c>
      <c r="C121" s="40">
        <f t="shared" si="8"/>
        <v>367386.18767398497</v>
      </c>
      <c r="D121" s="40">
        <f t="shared" si="9"/>
        <v>459.23273459248117</v>
      </c>
      <c r="E121" s="40">
        <f t="shared" si="10"/>
        <v>3000</v>
      </c>
      <c r="F121" s="40">
        <f t="shared" si="11"/>
        <v>364845.42040857743</v>
      </c>
    </row>
    <row r="122" spans="1:6" x14ac:dyDescent="0.2">
      <c r="A122" s="15">
        <f t="shared" si="6"/>
        <v>109</v>
      </c>
      <c r="B122" s="16">
        <f t="shared" si="7"/>
        <v>9.0833333333333339</v>
      </c>
      <c r="C122" s="17">
        <f t="shared" si="8"/>
        <v>364845.42040857743</v>
      </c>
      <c r="D122" s="17">
        <f t="shared" si="9"/>
        <v>456.05677551072176</v>
      </c>
      <c r="E122" s="17">
        <f t="shared" si="10"/>
        <v>3000</v>
      </c>
      <c r="F122" s="17">
        <f t="shared" si="11"/>
        <v>362301.47718408814</v>
      </c>
    </row>
    <row r="123" spans="1:6" x14ac:dyDescent="0.2">
      <c r="A123" s="38">
        <f t="shared" si="6"/>
        <v>110</v>
      </c>
      <c r="B123" s="39">
        <f t="shared" si="7"/>
        <v>9.1666666666666661</v>
      </c>
      <c r="C123" s="40">
        <f t="shared" si="8"/>
        <v>362301.47718408814</v>
      </c>
      <c r="D123" s="40">
        <f t="shared" si="9"/>
        <v>452.87684648011015</v>
      </c>
      <c r="E123" s="40">
        <f t="shared" si="10"/>
        <v>3000</v>
      </c>
      <c r="F123" s="40">
        <f t="shared" si="11"/>
        <v>359754.35403056827</v>
      </c>
    </row>
    <row r="124" spans="1:6" x14ac:dyDescent="0.2">
      <c r="A124" s="15">
        <f t="shared" si="6"/>
        <v>111</v>
      </c>
      <c r="B124" s="16">
        <f t="shared" si="7"/>
        <v>9.25</v>
      </c>
      <c r="C124" s="17">
        <f t="shared" si="8"/>
        <v>359754.35403056827</v>
      </c>
      <c r="D124" s="17">
        <f t="shared" si="9"/>
        <v>449.69294253821027</v>
      </c>
      <c r="E124" s="17">
        <f t="shared" si="10"/>
        <v>3000</v>
      </c>
      <c r="F124" s="17">
        <f t="shared" si="11"/>
        <v>357204.04697310645</v>
      </c>
    </row>
    <row r="125" spans="1:6" x14ac:dyDescent="0.2">
      <c r="A125" s="38">
        <f t="shared" si="6"/>
        <v>112</v>
      </c>
      <c r="B125" s="39">
        <f t="shared" si="7"/>
        <v>9.3333333333333339</v>
      </c>
      <c r="C125" s="40">
        <f t="shared" si="8"/>
        <v>357204.04697310645</v>
      </c>
      <c r="D125" s="40">
        <f t="shared" si="9"/>
        <v>446.50505871638302</v>
      </c>
      <c r="E125" s="40">
        <f t="shared" si="10"/>
        <v>3000</v>
      </c>
      <c r="F125" s="40">
        <f t="shared" si="11"/>
        <v>354650.55203182285</v>
      </c>
    </row>
    <row r="126" spans="1:6" x14ac:dyDescent="0.2">
      <c r="A126" s="15">
        <f t="shared" si="6"/>
        <v>113</v>
      </c>
      <c r="B126" s="16">
        <f t="shared" si="7"/>
        <v>9.4166666666666661</v>
      </c>
      <c r="C126" s="17">
        <f t="shared" si="8"/>
        <v>354650.55203182285</v>
      </c>
      <c r="D126" s="17">
        <f t="shared" si="9"/>
        <v>443.31319003977859</v>
      </c>
      <c r="E126" s="17">
        <f t="shared" si="10"/>
        <v>3000</v>
      </c>
      <c r="F126" s="17">
        <f t="shared" si="11"/>
        <v>352093.86522186262</v>
      </c>
    </row>
    <row r="127" spans="1:6" x14ac:dyDescent="0.2">
      <c r="A127" s="38">
        <f t="shared" si="6"/>
        <v>114</v>
      </c>
      <c r="B127" s="39">
        <f t="shared" si="7"/>
        <v>9.5</v>
      </c>
      <c r="C127" s="40">
        <f t="shared" si="8"/>
        <v>352093.86522186262</v>
      </c>
      <c r="D127" s="40">
        <f t="shared" si="9"/>
        <v>440.1173315273283</v>
      </c>
      <c r="E127" s="40">
        <f t="shared" si="10"/>
        <v>3000</v>
      </c>
      <c r="F127" s="40">
        <f t="shared" si="11"/>
        <v>349533.98255338997</v>
      </c>
    </row>
    <row r="128" spans="1:6" x14ac:dyDescent="0.2">
      <c r="A128" s="15">
        <f t="shared" si="6"/>
        <v>115</v>
      </c>
      <c r="B128" s="16">
        <f t="shared" si="7"/>
        <v>9.5833333333333339</v>
      </c>
      <c r="C128" s="17">
        <f t="shared" si="8"/>
        <v>349533.98255338997</v>
      </c>
      <c r="D128" s="17">
        <f t="shared" si="9"/>
        <v>436.91747819173747</v>
      </c>
      <c r="E128" s="17">
        <f t="shared" si="10"/>
        <v>3000</v>
      </c>
      <c r="F128" s="17">
        <f t="shared" si="11"/>
        <v>346970.9000315817</v>
      </c>
    </row>
    <row r="129" spans="1:6" x14ac:dyDescent="0.2">
      <c r="A129" s="38">
        <f t="shared" si="6"/>
        <v>116</v>
      </c>
      <c r="B129" s="39">
        <f t="shared" si="7"/>
        <v>9.6666666666666661</v>
      </c>
      <c r="C129" s="40">
        <f t="shared" si="8"/>
        <v>346970.9000315817</v>
      </c>
      <c r="D129" s="40">
        <f t="shared" si="9"/>
        <v>433.71362503947711</v>
      </c>
      <c r="E129" s="40">
        <f t="shared" si="10"/>
        <v>3000</v>
      </c>
      <c r="F129" s="40">
        <f t="shared" si="11"/>
        <v>344404.61365662119</v>
      </c>
    </row>
    <row r="130" spans="1:6" x14ac:dyDescent="0.2">
      <c r="A130" s="15">
        <f t="shared" si="6"/>
        <v>117</v>
      </c>
      <c r="B130" s="16">
        <f t="shared" si="7"/>
        <v>9.75</v>
      </c>
      <c r="C130" s="17">
        <f t="shared" si="8"/>
        <v>344404.61365662119</v>
      </c>
      <c r="D130" s="17">
        <f t="shared" si="9"/>
        <v>430.50576707077647</v>
      </c>
      <c r="E130" s="17">
        <f t="shared" si="10"/>
        <v>3000</v>
      </c>
      <c r="F130" s="17">
        <f t="shared" si="11"/>
        <v>341835.119423692</v>
      </c>
    </row>
    <row r="131" spans="1:6" x14ac:dyDescent="0.2">
      <c r="A131" s="38">
        <f t="shared" si="6"/>
        <v>118</v>
      </c>
      <c r="B131" s="39">
        <f t="shared" si="7"/>
        <v>9.8333333333333339</v>
      </c>
      <c r="C131" s="40">
        <f t="shared" si="8"/>
        <v>341835.119423692</v>
      </c>
      <c r="D131" s="40">
        <f t="shared" si="9"/>
        <v>427.293899279615</v>
      </c>
      <c r="E131" s="40">
        <f t="shared" si="10"/>
        <v>3000</v>
      </c>
      <c r="F131" s="40">
        <f t="shared" si="11"/>
        <v>339262.41332297161</v>
      </c>
    </row>
    <row r="132" spans="1:6" x14ac:dyDescent="0.2">
      <c r="A132" s="15">
        <f t="shared" si="6"/>
        <v>119</v>
      </c>
      <c r="B132" s="16">
        <f t="shared" si="7"/>
        <v>9.9166666666666661</v>
      </c>
      <c r="C132" s="17">
        <f t="shared" si="8"/>
        <v>339262.41332297161</v>
      </c>
      <c r="D132" s="17">
        <f t="shared" si="9"/>
        <v>424.07801665371449</v>
      </c>
      <c r="E132" s="17">
        <f t="shared" si="10"/>
        <v>3000</v>
      </c>
      <c r="F132" s="17">
        <f t="shared" si="11"/>
        <v>336686.49133962533</v>
      </c>
    </row>
    <row r="133" spans="1:6" x14ac:dyDescent="0.2">
      <c r="A133" s="38">
        <f t="shared" si="6"/>
        <v>120</v>
      </c>
      <c r="B133" s="39">
        <f t="shared" si="7"/>
        <v>10</v>
      </c>
      <c r="C133" s="40">
        <f t="shared" si="8"/>
        <v>336686.49133962533</v>
      </c>
      <c r="D133" s="40">
        <f t="shared" si="9"/>
        <v>420.85811417453164</v>
      </c>
      <c r="E133" s="40">
        <f t="shared" si="10"/>
        <v>3000</v>
      </c>
      <c r="F133" s="40">
        <f t="shared" si="11"/>
        <v>334107.34945379983</v>
      </c>
    </row>
    <row r="134" spans="1:6" x14ac:dyDescent="0.2">
      <c r="A134" s="15">
        <f t="shared" si="6"/>
        <v>121</v>
      </c>
      <c r="B134" s="16">
        <f t="shared" si="7"/>
        <v>10.083333333333334</v>
      </c>
      <c r="C134" s="17">
        <f t="shared" si="8"/>
        <v>334107.34945379983</v>
      </c>
      <c r="D134" s="17">
        <f t="shared" si="9"/>
        <v>417.63418681724983</v>
      </c>
      <c r="E134" s="17">
        <f t="shared" si="10"/>
        <v>3000</v>
      </c>
      <c r="F134" s="17">
        <f t="shared" si="11"/>
        <v>331524.98364061711</v>
      </c>
    </row>
    <row r="135" spans="1:6" x14ac:dyDescent="0.2">
      <c r="A135" s="38">
        <f t="shared" si="6"/>
        <v>122</v>
      </c>
      <c r="B135" s="39">
        <f t="shared" si="7"/>
        <v>10.166666666666666</v>
      </c>
      <c r="C135" s="40">
        <f t="shared" si="8"/>
        <v>331524.98364061711</v>
      </c>
      <c r="D135" s="40">
        <f t="shared" si="9"/>
        <v>414.40622955077134</v>
      </c>
      <c r="E135" s="40">
        <f t="shared" si="10"/>
        <v>3000</v>
      </c>
      <c r="F135" s="40">
        <f t="shared" si="11"/>
        <v>328939.38987016788</v>
      </c>
    </row>
    <row r="136" spans="1:6" x14ac:dyDescent="0.2">
      <c r="A136" s="15">
        <f t="shared" si="6"/>
        <v>123</v>
      </c>
      <c r="B136" s="16">
        <f t="shared" si="7"/>
        <v>10.25</v>
      </c>
      <c r="C136" s="17">
        <f t="shared" si="8"/>
        <v>328939.38987016788</v>
      </c>
      <c r="D136" s="17">
        <f t="shared" si="9"/>
        <v>411.17423733770983</v>
      </c>
      <c r="E136" s="17">
        <f t="shared" si="10"/>
        <v>3000</v>
      </c>
      <c r="F136" s="17">
        <f t="shared" si="11"/>
        <v>326350.5641075056</v>
      </c>
    </row>
    <row r="137" spans="1:6" x14ac:dyDescent="0.2">
      <c r="A137" s="38">
        <f t="shared" si="6"/>
        <v>124</v>
      </c>
      <c r="B137" s="39">
        <f t="shared" si="7"/>
        <v>10.333333333333334</v>
      </c>
      <c r="C137" s="40">
        <f t="shared" si="8"/>
        <v>326350.5641075056</v>
      </c>
      <c r="D137" s="40">
        <f t="shared" si="9"/>
        <v>407.93820513438203</v>
      </c>
      <c r="E137" s="40">
        <f t="shared" si="10"/>
        <v>3000</v>
      </c>
      <c r="F137" s="40">
        <f t="shared" si="11"/>
        <v>323758.50231263996</v>
      </c>
    </row>
    <row r="138" spans="1:6" x14ac:dyDescent="0.2">
      <c r="A138" s="15">
        <f t="shared" si="6"/>
        <v>125</v>
      </c>
      <c r="B138" s="16">
        <f t="shared" si="7"/>
        <v>10.416666666666666</v>
      </c>
      <c r="C138" s="17">
        <f t="shared" si="8"/>
        <v>323758.50231263996</v>
      </c>
      <c r="D138" s="17">
        <f t="shared" si="9"/>
        <v>404.69812789079992</v>
      </c>
      <c r="E138" s="17">
        <f t="shared" si="10"/>
        <v>3000</v>
      </c>
      <c r="F138" s="17">
        <f t="shared" si="11"/>
        <v>321163.20044053078</v>
      </c>
    </row>
    <row r="139" spans="1:6" x14ac:dyDescent="0.2">
      <c r="A139" s="38">
        <f t="shared" si="6"/>
        <v>126</v>
      </c>
      <c r="B139" s="39">
        <f t="shared" si="7"/>
        <v>10.5</v>
      </c>
      <c r="C139" s="40">
        <f t="shared" si="8"/>
        <v>321163.20044053078</v>
      </c>
      <c r="D139" s="40">
        <f t="shared" si="9"/>
        <v>401.45400055066347</v>
      </c>
      <c r="E139" s="40">
        <f t="shared" si="10"/>
        <v>3000</v>
      </c>
      <c r="F139" s="40">
        <f t="shared" si="11"/>
        <v>318564.65444108145</v>
      </c>
    </row>
    <row r="140" spans="1:6" x14ac:dyDescent="0.2">
      <c r="A140" s="15">
        <f t="shared" si="6"/>
        <v>127</v>
      </c>
      <c r="B140" s="16">
        <f t="shared" si="7"/>
        <v>10.583333333333334</v>
      </c>
      <c r="C140" s="17">
        <f t="shared" si="8"/>
        <v>318564.65444108145</v>
      </c>
      <c r="D140" s="17">
        <f t="shared" si="9"/>
        <v>398.2058180513518</v>
      </c>
      <c r="E140" s="17">
        <f t="shared" si="10"/>
        <v>3000</v>
      </c>
      <c r="F140" s="17">
        <f t="shared" si="11"/>
        <v>315962.86025913281</v>
      </c>
    </row>
    <row r="141" spans="1:6" x14ac:dyDescent="0.2">
      <c r="A141" s="38">
        <f t="shared" si="6"/>
        <v>128</v>
      </c>
      <c r="B141" s="39">
        <f t="shared" si="7"/>
        <v>10.666666666666666</v>
      </c>
      <c r="C141" s="40">
        <f t="shared" si="8"/>
        <v>315962.86025913281</v>
      </c>
      <c r="D141" s="40">
        <f t="shared" si="9"/>
        <v>394.95357532391603</v>
      </c>
      <c r="E141" s="40">
        <f t="shared" si="10"/>
        <v>3000</v>
      </c>
      <c r="F141" s="40">
        <f t="shared" si="11"/>
        <v>313357.81383445673</v>
      </c>
    </row>
    <row r="142" spans="1:6" x14ac:dyDescent="0.2">
      <c r="A142" s="15">
        <f t="shared" si="6"/>
        <v>129</v>
      </c>
      <c r="B142" s="16">
        <f t="shared" si="7"/>
        <v>10.75</v>
      </c>
      <c r="C142" s="17">
        <f t="shared" si="8"/>
        <v>313357.81383445673</v>
      </c>
      <c r="D142" s="17">
        <f t="shared" si="9"/>
        <v>391.69726729307087</v>
      </c>
      <c r="E142" s="17">
        <f t="shared" si="10"/>
        <v>3000</v>
      </c>
      <c r="F142" s="17">
        <f t="shared" si="11"/>
        <v>310749.51110174978</v>
      </c>
    </row>
    <row r="143" spans="1:6" x14ac:dyDescent="0.2">
      <c r="A143" s="38">
        <f t="shared" ref="A143:A206" si="12">IF(A142&lt;$B$5*12,A142+1,"")</f>
        <v>130</v>
      </c>
      <c r="B143" s="39">
        <f t="shared" ref="B143:B206" si="13">IF(A143="","",A143/12)</f>
        <v>10.833333333333334</v>
      </c>
      <c r="C143" s="40">
        <f t="shared" ref="C143:C206" si="14">IF(A143="","",F142)</f>
        <v>310749.51110174978</v>
      </c>
      <c r="D143" s="40">
        <f t="shared" ref="D143:D206" si="15">IF(A143="","",C143*$B$7/12)</f>
        <v>388.43688887718719</v>
      </c>
      <c r="E143" s="40">
        <f t="shared" ref="E143:E206" si="16">IF(A143="","",MIN($B$6,C143+D143))</f>
        <v>3000</v>
      </c>
      <c r="F143" s="40">
        <f t="shared" ref="F143:F206" si="17">IF(A143="","",MAX(0,C143+D143-E143))</f>
        <v>308137.94799062697</v>
      </c>
    </row>
    <row r="144" spans="1:6" x14ac:dyDescent="0.2">
      <c r="A144" s="15">
        <f t="shared" si="12"/>
        <v>131</v>
      </c>
      <c r="B144" s="16">
        <f t="shared" si="13"/>
        <v>10.916666666666666</v>
      </c>
      <c r="C144" s="17">
        <f t="shared" si="14"/>
        <v>308137.94799062697</v>
      </c>
      <c r="D144" s="17">
        <f t="shared" si="15"/>
        <v>385.17243498828367</v>
      </c>
      <c r="E144" s="17">
        <f t="shared" si="16"/>
        <v>3000</v>
      </c>
      <c r="F144" s="17">
        <f t="shared" si="17"/>
        <v>305523.12042561523</v>
      </c>
    </row>
    <row r="145" spans="1:6" x14ac:dyDescent="0.2">
      <c r="A145" s="38">
        <f t="shared" si="12"/>
        <v>132</v>
      </c>
      <c r="B145" s="39">
        <f t="shared" si="13"/>
        <v>11</v>
      </c>
      <c r="C145" s="40">
        <f t="shared" si="14"/>
        <v>305523.12042561523</v>
      </c>
      <c r="D145" s="40">
        <f t="shared" si="15"/>
        <v>381.90390053201901</v>
      </c>
      <c r="E145" s="40">
        <f t="shared" si="16"/>
        <v>3000</v>
      </c>
      <c r="F145" s="40">
        <f t="shared" si="17"/>
        <v>302905.02432614722</v>
      </c>
    </row>
    <row r="146" spans="1:6" x14ac:dyDescent="0.2">
      <c r="A146" s="15">
        <f t="shared" si="12"/>
        <v>133</v>
      </c>
      <c r="B146" s="16">
        <f t="shared" si="13"/>
        <v>11.083333333333334</v>
      </c>
      <c r="C146" s="17">
        <f t="shared" si="14"/>
        <v>302905.02432614722</v>
      </c>
      <c r="D146" s="17">
        <f t="shared" si="15"/>
        <v>378.63128040768402</v>
      </c>
      <c r="E146" s="17">
        <f t="shared" si="16"/>
        <v>3000</v>
      </c>
      <c r="F146" s="17">
        <f t="shared" si="17"/>
        <v>300283.65560655488</v>
      </c>
    </row>
    <row r="147" spans="1:6" x14ac:dyDescent="0.2">
      <c r="A147" s="38">
        <f t="shared" si="12"/>
        <v>134</v>
      </c>
      <c r="B147" s="39">
        <f t="shared" si="13"/>
        <v>11.166666666666666</v>
      </c>
      <c r="C147" s="40">
        <f t="shared" si="14"/>
        <v>300283.65560655488</v>
      </c>
      <c r="D147" s="40">
        <f t="shared" si="15"/>
        <v>375.35456950819361</v>
      </c>
      <c r="E147" s="40">
        <f t="shared" si="16"/>
        <v>3000</v>
      </c>
      <c r="F147" s="40">
        <f t="shared" si="17"/>
        <v>297659.01017606305</v>
      </c>
    </row>
    <row r="148" spans="1:6" x14ac:dyDescent="0.2">
      <c r="A148" s="15">
        <f t="shared" si="12"/>
        <v>135</v>
      </c>
      <c r="B148" s="16">
        <f t="shared" si="13"/>
        <v>11.25</v>
      </c>
      <c r="C148" s="17">
        <f t="shared" si="14"/>
        <v>297659.01017606305</v>
      </c>
      <c r="D148" s="17">
        <f t="shared" si="15"/>
        <v>372.07376272007878</v>
      </c>
      <c r="E148" s="17">
        <f t="shared" si="16"/>
        <v>3000</v>
      </c>
      <c r="F148" s="17">
        <f t="shared" si="17"/>
        <v>295031.08393878315</v>
      </c>
    </row>
    <row r="149" spans="1:6" x14ac:dyDescent="0.2">
      <c r="A149" s="38">
        <f t="shared" si="12"/>
        <v>136</v>
      </c>
      <c r="B149" s="39">
        <f t="shared" si="13"/>
        <v>11.333333333333334</v>
      </c>
      <c r="C149" s="40">
        <f t="shared" si="14"/>
        <v>295031.08393878315</v>
      </c>
      <c r="D149" s="40">
        <f t="shared" si="15"/>
        <v>368.78885492347894</v>
      </c>
      <c r="E149" s="40">
        <f t="shared" si="16"/>
        <v>3000</v>
      </c>
      <c r="F149" s="40">
        <f t="shared" si="17"/>
        <v>292399.87279370666</v>
      </c>
    </row>
    <row r="150" spans="1:6" x14ac:dyDescent="0.2">
      <c r="A150" s="15">
        <f t="shared" si="12"/>
        <v>137</v>
      </c>
      <c r="B150" s="16">
        <f t="shared" si="13"/>
        <v>11.416666666666666</v>
      </c>
      <c r="C150" s="17">
        <f t="shared" si="14"/>
        <v>292399.87279370666</v>
      </c>
      <c r="D150" s="17">
        <f t="shared" si="15"/>
        <v>365.49984099213333</v>
      </c>
      <c r="E150" s="17">
        <f t="shared" si="16"/>
        <v>3000</v>
      </c>
      <c r="F150" s="17">
        <f t="shared" si="17"/>
        <v>289765.37263469881</v>
      </c>
    </row>
    <row r="151" spans="1:6" x14ac:dyDescent="0.2">
      <c r="A151" s="38">
        <f t="shared" si="12"/>
        <v>138</v>
      </c>
      <c r="B151" s="39">
        <f t="shared" si="13"/>
        <v>11.5</v>
      </c>
      <c r="C151" s="40">
        <f t="shared" si="14"/>
        <v>289765.37263469881</v>
      </c>
      <c r="D151" s="40">
        <f t="shared" si="15"/>
        <v>362.20671579337346</v>
      </c>
      <c r="E151" s="40">
        <f t="shared" si="16"/>
        <v>3000</v>
      </c>
      <c r="F151" s="40">
        <f t="shared" si="17"/>
        <v>287127.57935049216</v>
      </c>
    </row>
    <row r="152" spans="1:6" x14ac:dyDescent="0.2">
      <c r="A152" s="15">
        <f t="shared" si="12"/>
        <v>139</v>
      </c>
      <c r="B152" s="16">
        <f t="shared" si="13"/>
        <v>11.583333333333334</v>
      </c>
      <c r="C152" s="17">
        <f t="shared" si="14"/>
        <v>287127.57935049216</v>
      </c>
      <c r="D152" s="17">
        <f t="shared" si="15"/>
        <v>358.90947418811515</v>
      </c>
      <c r="E152" s="17">
        <f t="shared" si="16"/>
        <v>3000</v>
      </c>
      <c r="F152" s="17">
        <f t="shared" si="17"/>
        <v>284486.48882468027</v>
      </c>
    </row>
    <row r="153" spans="1:6" x14ac:dyDescent="0.2">
      <c r="A153" s="38">
        <f t="shared" si="12"/>
        <v>140</v>
      </c>
      <c r="B153" s="39">
        <f t="shared" si="13"/>
        <v>11.666666666666666</v>
      </c>
      <c r="C153" s="40">
        <f t="shared" si="14"/>
        <v>284486.48882468027</v>
      </c>
      <c r="D153" s="40">
        <f t="shared" si="15"/>
        <v>355.6081110308503</v>
      </c>
      <c r="E153" s="40">
        <f t="shared" si="16"/>
        <v>3000</v>
      </c>
      <c r="F153" s="40">
        <f t="shared" si="17"/>
        <v>281842.0969357111</v>
      </c>
    </row>
    <row r="154" spans="1:6" x14ac:dyDescent="0.2">
      <c r="A154" s="15">
        <f t="shared" si="12"/>
        <v>141</v>
      </c>
      <c r="B154" s="16">
        <f t="shared" si="13"/>
        <v>11.75</v>
      </c>
      <c r="C154" s="17">
        <f t="shared" si="14"/>
        <v>281842.0969357111</v>
      </c>
      <c r="D154" s="17">
        <f t="shared" si="15"/>
        <v>352.30262116963883</v>
      </c>
      <c r="E154" s="17">
        <f t="shared" si="16"/>
        <v>3000</v>
      </c>
      <c r="F154" s="17">
        <f t="shared" si="17"/>
        <v>279194.39955688076</v>
      </c>
    </row>
    <row r="155" spans="1:6" x14ac:dyDescent="0.2">
      <c r="A155" s="38">
        <f t="shared" si="12"/>
        <v>142</v>
      </c>
      <c r="B155" s="39">
        <f t="shared" si="13"/>
        <v>11.833333333333334</v>
      </c>
      <c r="C155" s="40">
        <f t="shared" si="14"/>
        <v>279194.39955688076</v>
      </c>
      <c r="D155" s="40">
        <f t="shared" si="15"/>
        <v>348.9929994461009</v>
      </c>
      <c r="E155" s="40">
        <f t="shared" si="16"/>
        <v>3000</v>
      </c>
      <c r="F155" s="40">
        <f t="shared" si="17"/>
        <v>276543.39255632687</v>
      </c>
    </row>
    <row r="156" spans="1:6" x14ac:dyDescent="0.2">
      <c r="A156" s="15">
        <f t="shared" si="12"/>
        <v>143</v>
      </c>
      <c r="B156" s="16">
        <f t="shared" si="13"/>
        <v>11.916666666666666</v>
      </c>
      <c r="C156" s="17">
        <f t="shared" si="14"/>
        <v>276543.39255632687</v>
      </c>
      <c r="D156" s="17">
        <f t="shared" si="15"/>
        <v>345.67924069540862</v>
      </c>
      <c r="E156" s="17">
        <f t="shared" si="16"/>
        <v>3000</v>
      </c>
      <c r="F156" s="17">
        <f t="shared" si="17"/>
        <v>273889.0717970223</v>
      </c>
    </row>
    <row r="157" spans="1:6" x14ac:dyDescent="0.2">
      <c r="A157" s="38">
        <f t="shared" si="12"/>
        <v>144</v>
      </c>
      <c r="B157" s="39">
        <f t="shared" si="13"/>
        <v>12</v>
      </c>
      <c r="C157" s="40">
        <f t="shared" si="14"/>
        <v>273889.0717970223</v>
      </c>
      <c r="D157" s="40">
        <f t="shared" si="15"/>
        <v>342.36133974627791</v>
      </c>
      <c r="E157" s="40">
        <f t="shared" si="16"/>
        <v>3000</v>
      </c>
      <c r="F157" s="40">
        <f t="shared" si="17"/>
        <v>271231.43313676858</v>
      </c>
    </row>
    <row r="158" spans="1:6" x14ac:dyDescent="0.2">
      <c r="A158" s="15">
        <f t="shared" si="12"/>
        <v>145</v>
      </c>
      <c r="B158" s="16">
        <f t="shared" si="13"/>
        <v>12.083333333333334</v>
      </c>
      <c r="C158" s="17">
        <f t="shared" si="14"/>
        <v>271231.43313676858</v>
      </c>
      <c r="D158" s="17">
        <f t="shared" si="15"/>
        <v>339.03929142096075</v>
      </c>
      <c r="E158" s="17">
        <f t="shared" si="16"/>
        <v>3000</v>
      </c>
      <c r="F158" s="17">
        <f t="shared" si="17"/>
        <v>268570.47242818953</v>
      </c>
    </row>
    <row r="159" spans="1:6" x14ac:dyDescent="0.2">
      <c r="A159" s="38">
        <f t="shared" si="12"/>
        <v>146</v>
      </c>
      <c r="B159" s="39">
        <f t="shared" si="13"/>
        <v>12.166666666666666</v>
      </c>
      <c r="C159" s="40">
        <f t="shared" si="14"/>
        <v>268570.47242818953</v>
      </c>
      <c r="D159" s="40">
        <f t="shared" si="15"/>
        <v>335.71309053523692</v>
      </c>
      <c r="E159" s="40">
        <f t="shared" si="16"/>
        <v>3000</v>
      </c>
      <c r="F159" s="40">
        <f t="shared" si="17"/>
        <v>265906.18551872479</v>
      </c>
    </row>
    <row r="160" spans="1:6" x14ac:dyDescent="0.2">
      <c r="A160" s="15">
        <f t="shared" si="12"/>
        <v>147</v>
      </c>
      <c r="B160" s="16">
        <f t="shared" si="13"/>
        <v>12.25</v>
      </c>
      <c r="C160" s="17">
        <f t="shared" si="14"/>
        <v>265906.18551872479</v>
      </c>
      <c r="D160" s="17">
        <f t="shared" si="15"/>
        <v>332.38273189840601</v>
      </c>
      <c r="E160" s="17">
        <f t="shared" si="16"/>
        <v>3000</v>
      </c>
      <c r="F160" s="17">
        <f t="shared" si="17"/>
        <v>263238.56825062318</v>
      </c>
    </row>
    <row r="161" spans="1:6" x14ac:dyDescent="0.2">
      <c r="A161" s="38">
        <f t="shared" si="12"/>
        <v>148</v>
      </c>
      <c r="B161" s="39">
        <f t="shared" si="13"/>
        <v>12.333333333333334</v>
      </c>
      <c r="C161" s="40">
        <f t="shared" si="14"/>
        <v>263238.56825062318</v>
      </c>
      <c r="D161" s="40">
        <f t="shared" si="15"/>
        <v>329.04821031327896</v>
      </c>
      <c r="E161" s="40">
        <f t="shared" si="16"/>
        <v>3000</v>
      </c>
      <c r="F161" s="40">
        <f t="shared" si="17"/>
        <v>260567.61646093644</v>
      </c>
    </row>
    <row r="162" spans="1:6" x14ac:dyDescent="0.2">
      <c r="A162" s="15">
        <f t="shared" si="12"/>
        <v>149</v>
      </c>
      <c r="B162" s="16">
        <f t="shared" si="13"/>
        <v>12.416666666666666</v>
      </c>
      <c r="C162" s="17">
        <f t="shared" si="14"/>
        <v>260567.61646093644</v>
      </c>
      <c r="D162" s="17">
        <f t="shared" si="15"/>
        <v>325.70952057617052</v>
      </c>
      <c r="E162" s="17">
        <f t="shared" si="16"/>
        <v>3000</v>
      </c>
      <c r="F162" s="17">
        <f t="shared" si="17"/>
        <v>257893.32598151261</v>
      </c>
    </row>
    <row r="163" spans="1:6" x14ac:dyDescent="0.2">
      <c r="A163" s="38">
        <f t="shared" si="12"/>
        <v>150</v>
      </c>
      <c r="B163" s="39">
        <f t="shared" si="13"/>
        <v>12.5</v>
      </c>
      <c r="C163" s="40">
        <f t="shared" si="14"/>
        <v>257893.32598151261</v>
      </c>
      <c r="D163" s="40">
        <f t="shared" si="15"/>
        <v>322.36665747689074</v>
      </c>
      <c r="E163" s="40">
        <f t="shared" si="16"/>
        <v>3000</v>
      </c>
      <c r="F163" s="40">
        <f t="shared" si="17"/>
        <v>255215.69263898951</v>
      </c>
    </row>
    <row r="164" spans="1:6" x14ac:dyDescent="0.2">
      <c r="A164" s="15">
        <f t="shared" si="12"/>
        <v>151</v>
      </c>
      <c r="B164" s="16">
        <f t="shared" si="13"/>
        <v>12.583333333333334</v>
      </c>
      <c r="C164" s="17">
        <f t="shared" si="14"/>
        <v>255215.69263898951</v>
      </c>
      <c r="D164" s="17">
        <f t="shared" si="15"/>
        <v>319.01961579873688</v>
      </c>
      <c r="E164" s="17">
        <f t="shared" si="16"/>
        <v>3000</v>
      </c>
      <c r="F164" s="17">
        <f t="shared" si="17"/>
        <v>252534.71225478823</v>
      </c>
    </row>
    <row r="165" spans="1:6" x14ac:dyDescent="0.2">
      <c r="A165" s="38">
        <f t="shared" si="12"/>
        <v>152</v>
      </c>
      <c r="B165" s="39">
        <f t="shared" si="13"/>
        <v>12.666666666666666</v>
      </c>
      <c r="C165" s="40">
        <f t="shared" si="14"/>
        <v>252534.71225478823</v>
      </c>
      <c r="D165" s="40">
        <f t="shared" si="15"/>
        <v>315.66839031848525</v>
      </c>
      <c r="E165" s="40">
        <f t="shared" si="16"/>
        <v>3000</v>
      </c>
      <c r="F165" s="40">
        <f t="shared" si="17"/>
        <v>249850.38064510672</v>
      </c>
    </row>
    <row r="166" spans="1:6" x14ac:dyDescent="0.2">
      <c r="A166" s="15">
        <f t="shared" si="12"/>
        <v>153</v>
      </c>
      <c r="B166" s="16">
        <f t="shared" si="13"/>
        <v>12.75</v>
      </c>
      <c r="C166" s="17">
        <f t="shared" si="14"/>
        <v>249850.38064510672</v>
      </c>
      <c r="D166" s="17">
        <f t="shared" si="15"/>
        <v>312.31297580638341</v>
      </c>
      <c r="E166" s="17">
        <f t="shared" si="16"/>
        <v>3000</v>
      </c>
      <c r="F166" s="17">
        <f t="shared" si="17"/>
        <v>247162.69362091311</v>
      </c>
    </row>
    <row r="167" spans="1:6" x14ac:dyDescent="0.2">
      <c r="A167" s="38">
        <f t="shared" si="12"/>
        <v>154</v>
      </c>
      <c r="B167" s="39">
        <f t="shared" si="13"/>
        <v>12.833333333333334</v>
      </c>
      <c r="C167" s="40">
        <f t="shared" si="14"/>
        <v>247162.69362091311</v>
      </c>
      <c r="D167" s="40">
        <f t="shared" si="15"/>
        <v>308.95336702614139</v>
      </c>
      <c r="E167" s="40">
        <f t="shared" si="16"/>
        <v>3000</v>
      </c>
      <c r="F167" s="40">
        <f t="shared" si="17"/>
        <v>244471.64698793925</v>
      </c>
    </row>
    <row r="168" spans="1:6" x14ac:dyDescent="0.2">
      <c r="A168" s="15">
        <f t="shared" si="12"/>
        <v>155</v>
      </c>
      <c r="B168" s="16">
        <f t="shared" si="13"/>
        <v>12.916666666666666</v>
      </c>
      <c r="C168" s="17">
        <f t="shared" si="14"/>
        <v>244471.64698793925</v>
      </c>
      <c r="D168" s="17">
        <f t="shared" si="15"/>
        <v>305.58955873492408</v>
      </c>
      <c r="E168" s="17">
        <f t="shared" si="16"/>
        <v>3000</v>
      </c>
      <c r="F168" s="17">
        <f t="shared" si="17"/>
        <v>241777.23654667419</v>
      </c>
    </row>
    <row r="169" spans="1:6" x14ac:dyDescent="0.2">
      <c r="A169" s="38">
        <f t="shared" si="12"/>
        <v>156</v>
      </c>
      <c r="B169" s="39">
        <f t="shared" si="13"/>
        <v>13</v>
      </c>
      <c r="C169" s="40">
        <f t="shared" si="14"/>
        <v>241777.23654667419</v>
      </c>
      <c r="D169" s="40">
        <f t="shared" si="15"/>
        <v>302.22154568334275</v>
      </c>
      <c r="E169" s="40">
        <f t="shared" si="16"/>
        <v>3000</v>
      </c>
      <c r="F169" s="40">
        <f t="shared" si="17"/>
        <v>239079.45809235753</v>
      </c>
    </row>
    <row r="170" spans="1:6" x14ac:dyDescent="0.2">
      <c r="A170" s="15">
        <f t="shared" si="12"/>
        <v>157</v>
      </c>
      <c r="B170" s="16">
        <f t="shared" si="13"/>
        <v>13.083333333333334</v>
      </c>
      <c r="C170" s="17">
        <f t="shared" si="14"/>
        <v>239079.45809235753</v>
      </c>
      <c r="D170" s="17">
        <f t="shared" si="15"/>
        <v>298.84932261544691</v>
      </c>
      <c r="E170" s="17">
        <f t="shared" si="16"/>
        <v>3000</v>
      </c>
      <c r="F170" s="17">
        <f t="shared" si="17"/>
        <v>236378.30741497298</v>
      </c>
    </row>
    <row r="171" spans="1:6" x14ac:dyDescent="0.2">
      <c r="A171" s="38">
        <f t="shared" si="12"/>
        <v>158</v>
      </c>
      <c r="B171" s="39">
        <f t="shared" si="13"/>
        <v>13.166666666666666</v>
      </c>
      <c r="C171" s="40">
        <f t="shared" si="14"/>
        <v>236378.30741497298</v>
      </c>
      <c r="D171" s="40">
        <f t="shared" si="15"/>
        <v>295.4728842687162</v>
      </c>
      <c r="E171" s="40">
        <f t="shared" si="16"/>
        <v>3000</v>
      </c>
      <c r="F171" s="40">
        <f t="shared" si="17"/>
        <v>233673.78029924168</v>
      </c>
    </row>
    <row r="172" spans="1:6" x14ac:dyDescent="0.2">
      <c r="A172" s="15">
        <f t="shared" si="12"/>
        <v>159</v>
      </c>
      <c r="B172" s="16">
        <f t="shared" si="13"/>
        <v>13.25</v>
      </c>
      <c r="C172" s="17">
        <f t="shared" si="14"/>
        <v>233673.78029924168</v>
      </c>
      <c r="D172" s="17">
        <f t="shared" si="15"/>
        <v>292.09222537405208</v>
      </c>
      <c r="E172" s="17">
        <f t="shared" si="16"/>
        <v>3000</v>
      </c>
      <c r="F172" s="17">
        <f t="shared" si="17"/>
        <v>230965.87252461573</v>
      </c>
    </row>
    <row r="173" spans="1:6" x14ac:dyDescent="0.2">
      <c r="A173" s="38">
        <f t="shared" si="12"/>
        <v>160</v>
      </c>
      <c r="B173" s="39">
        <f t="shared" si="13"/>
        <v>13.333333333333334</v>
      </c>
      <c r="C173" s="40">
        <f t="shared" si="14"/>
        <v>230965.87252461573</v>
      </c>
      <c r="D173" s="40">
        <f t="shared" si="15"/>
        <v>288.70734065576966</v>
      </c>
      <c r="E173" s="40">
        <f t="shared" si="16"/>
        <v>3000</v>
      </c>
      <c r="F173" s="40">
        <f t="shared" si="17"/>
        <v>228254.57986527149</v>
      </c>
    </row>
    <row r="174" spans="1:6" x14ac:dyDescent="0.2">
      <c r="A174" s="15">
        <f t="shared" si="12"/>
        <v>161</v>
      </c>
      <c r="B174" s="16">
        <f t="shared" si="13"/>
        <v>13.416666666666666</v>
      </c>
      <c r="C174" s="17">
        <f t="shared" si="14"/>
        <v>228254.57986527149</v>
      </c>
      <c r="D174" s="17">
        <f t="shared" si="15"/>
        <v>285.31822483158936</v>
      </c>
      <c r="E174" s="17">
        <f t="shared" si="16"/>
        <v>3000</v>
      </c>
      <c r="F174" s="17">
        <f t="shared" si="17"/>
        <v>225539.89809010309</v>
      </c>
    </row>
    <row r="175" spans="1:6" x14ac:dyDescent="0.2">
      <c r="A175" s="38">
        <f t="shared" si="12"/>
        <v>162</v>
      </c>
      <c r="B175" s="39">
        <f t="shared" si="13"/>
        <v>13.5</v>
      </c>
      <c r="C175" s="40">
        <f t="shared" si="14"/>
        <v>225539.89809010309</v>
      </c>
      <c r="D175" s="40">
        <f t="shared" si="15"/>
        <v>281.92487261262886</v>
      </c>
      <c r="E175" s="40">
        <f t="shared" si="16"/>
        <v>3000</v>
      </c>
      <c r="F175" s="40">
        <f t="shared" si="17"/>
        <v>222821.82296271573</v>
      </c>
    </row>
    <row r="176" spans="1:6" x14ac:dyDescent="0.2">
      <c r="A176" s="15">
        <f t="shared" si="12"/>
        <v>163</v>
      </c>
      <c r="B176" s="16">
        <f t="shared" si="13"/>
        <v>13.583333333333334</v>
      </c>
      <c r="C176" s="17">
        <f t="shared" si="14"/>
        <v>222821.82296271573</v>
      </c>
      <c r="D176" s="17">
        <f t="shared" si="15"/>
        <v>278.52727870339464</v>
      </c>
      <c r="E176" s="17">
        <f t="shared" si="16"/>
        <v>3000</v>
      </c>
      <c r="F176" s="17">
        <f t="shared" si="17"/>
        <v>220100.35024141913</v>
      </c>
    </row>
    <row r="177" spans="1:6" x14ac:dyDescent="0.2">
      <c r="A177" s="38">
        <f t="shared" si="12"/>
        <v>164</v>
      </c>
      <c r="B177" s="39">
        <f t="shared" si="13"/>
        <v>13.666666666666666</v>
      </c>
      <c r="C177" s="40">
        <f t="shared" si="14"/>
        <v>220100.35024141913</v>
      </c>
      <c r="D177" s="40">
        <f t="shared" si="15"/>
        <v>275.1254378017739</v>
      </c>
      <c r="E177" s="40">
        <f t="shared" si="16"/>
        <v>3000</v>
      </c>
      <c r="F177" s="40">
        <f t="shared" si="17"/>
        <v>217375.47567922089</v>
      </c>
    </row>
    <row r="178" spans="1:6" x14ac:dyDescent="0.2">
      <c r="A178" s="15">
        <f t="shared" si="12"/>
        <v>165</v>
      </c>
      <c r="B178" s="16">
        <f t="shared" si="13"/>
        <v>13.75</v>
      </c>
      <c r="C178" s="17">
        <f t="shared" si="14"/>
        <v>217375.47567922089</v>
      </c>
      <c r="D178" s="17">
        <f t="shared" si="15"/>
        <v>271.7193445990261</v>
      </c>
      <c r="E178" s="17">
        <f t="shared" si="16"/>
        <v>3000</v>
      </c>
      <c r="F178" s="17">
        <f t="shared" si="17"/>
        <v>214647.19502381992</v>
      </c>
    </row>
    <row r="179" spans="1:6" x14ac:dyDescent="0.2">
      <c r="A179" s="38">
        <f t="shared" si="12"/>
        <v>166</v>
      </c>
      <c r="B179" s="39">
        <f t="shared" si="13"/>
        <v>13.833333333333334</v>
      </c>
      <c r="C179" s="40">
        <f t="shared" si="14"/>
        <v>214647.19502381992</v>
      </c>
      <c r="D179" s="40">
        <f t="shared" si="15"/>
        <v>268.30899377977488</v>
      </c>
      <c r="E179" s="40">
        <f t="shared" si="16"/>
        <v>3000</v>
      </c>
      <c r="F179" s="40">
        <f t="shared" si="17"/>
        <v>211915.50401759968</v>
      </c>
    </row>
    <row r="180" spans="1:6" x14ac:dyDescent="0.2">
      <c r="A180" s="15">
        <f t="shared" si="12"/>
        <v>167</v>
      </c>
      <c r="B180" s="16">
        <f t="shared" si="13"/>
        <v>13.916666666666666</v>
      </c>
      <c r="C180" s="17">
        <f t="shared" si="14"/>
        <v>211915.50401759968</v>
      </c>
      <c r="D180" s="17">
        <f t="shared" si="15"/>
        <v>264.89438002199961</v>
      </c>
      <c r="E180" s="17">
        <f t="shared" si="16"/>
        <v>3000</v>
      </c>
      <c r="F180" s="17">
        <f t="shared" si="17"/>
        <v>209180.39839762167</v>
      </c>
    </row>
    <row r="181" spans="1:6" x14ac:dyDescent="0.2">
      <c r="A181" s="38">
        <f t="shared" si="12"/>
        <v>168</v>
      </c>
      <c r="B181" s="39">
        <f t="shared" si="13"/>
        <v>14</v>
      </c>
      <c r="C181" s="40">
        <f t="shared" si="14"/>
        <v>209180.39839762167</v>
      </c>
      <c r="D181" s="40">
        <f t="shared" si="15"/>
        <v>261.47549799702705</v>
      </c>
      <c r="E181" s="40">
        <f t="shared" si="16"/>
        <v>3000</v>
      </c>
      <c r="F181" s="40">
        <f t="shared" si="17"/>
        <v>206441.87389561869</v>
      </c>
    </row>
    <row r="182" spans="1:6" x14ac:dyDescent="0.2">
      <c r="A182" s="15">
        <f t="shared" si="12"/>
        <v>169</v>
      </c>
      <c r="B182" s="16">
        <f t="shared" si="13"/>
        <v>14.083333333333334</v>
      </c>
      <c r="C182" s="17">
        <f t="shared" si="14"/>
        <v>206441.87389561869</v>
      </c>
      <c r="D182" s="17">
        <f t="shared" si="15"/>
        <v>258.05234236952333</v>
      </c>
      <c r="E182" s="17">
        <f t="shared" si="16"/>
        <v>3000</v>
      </c>
      <c r="F182" s="17">
        <f t="shared" si="17"/>
        <v>203699.9262379882</v>
      </c>
    </row>
    <row r="183" spans="1:6" x14ac:dyDescent="0.2">
      <c r="A183" s="38">
        <f t="shared" si="12"/>
        <v>170</v>
      </c>
      <c r="B183" s="39">
        <f t="shared" si="13"/>
        <v>14.166666666666666</v>
      </c>
      <c r="C183" s="40">
        <f t="shared" si="14"/>
        <v>203699.9262379882</v>
      </c>
      <c r="D183" s="40">
        <f t="shared" si="15"/>
        <v>254.62490779748524</v>
      </c>
      <c r="E183" s="40">
        <f t="shared" si="16"/>
        <v>3000</v>
      </c>
      <c r="F183" s="40">
        <f t="shared" si="17"/>
        <v>200954.55114578569</v>
      </c>
    </row>
    <row r="184" spans="1:6" x14ac:dyDescent="0.2">
      <c r="A184" s="15">
        <f t="shared" si="12"/>
        <v>171</v>
      </c>
      <c r="B184" s="16">
        <f t="shared" si="13"/>
        <v>14.25</v>
      </c>
      <c r="C184" s="17">
        <f t="shared" si="14"/>
        <v>200954.55114578569</v>
      </c>
      <c r="D184" s="17">
        <f t="shared" si="15"/>
        <v>251.19318893223212</v>
      </c>
      <c r="E184" s="17">
        <f t="shared" si="16"/>
        <v>3000</v>
      </c>
      <c r="F184" s="17">
        <f t="shared" si="17"/>
        <v>198205.74433471792</v>
      </c>
    </row>
    <row r="185" spans="1:6" x14ac:dyDescent="0.2">
      <c r="A185" s="38">
        <f t="shared" si="12"/>
        <v>172</v>
      </c>
      <c r="B185" s="39">
        <f t="shared" si="13"/>
        <v>14.333333333333334</v>
      </c>
      <c r="C185" s="40">
        <f t="shared" si="14"/>
        <v>198205.74433471792</v>
      </c>
      <c r="D185" s="40">
        <f t="shared" si="15"/>
        <v>247.75718041839741</v>
      </c>
      <c r="E185" s="40">
        <f t="shared" si="16"/>
        <v>3000</v>
      </c>
      <c r="F185" s="40">
        <f t="shared" si="17"/>
        <v>195453.50151513633</v>
      </c>
    </row>
    <row r="186" spans="1:6" x14ac:dyDescent="0.2">
      <c r="A186" s="15">
        <f t="shared" si="12"/>
        <v>173</v>
      </c>
      <c r="B186" s="16">
        <f t="shared" si="13"/>
        <v>14.416666666666666</v>
      </c>
      <c r="C186" s="17">
        <f t="shared" si="14"/>
        <v>195453.50151513633</v>
      </c>
      <c r="D186" s="17">
        <f t="shared" si="15"/>
        <v>244.31687689392041</v>
      </c>
      <c r="E186" s="17">
        <f t="shared" si="16"/>
        <v>3000</v>
      </c>
      <c r="F186" s="17">
        <f t="shared" si="17"/>
        <v>192697.81839203025</v>
      </c>
    </row>
    <row r="187" spans="1:6" x14ac:dyDescent="0.2">
      <c r="A187" s="38">
        <f t="shared" si="12"/>
        <v>174</v>
      </c>
      <c r="B187" s="39">
        <f t="shared" si="13"/>
        <v>14.5</v>
      </c>
      <c r="C187" s="40">
        <f t="shared" si="14"/>
        <v>192697.81839203025</v>
      </c>
      <c r="D187" s="40">
        <f t="shared" si="15"/>
        <v>240.8722729900378</v>
      </c>
      <c r="E187" s="40">
        <f t="shared" si="16"/>
        <v>3000</v>
      </c>
      <c r="F187" s="40">
        <f t="shared" si="17"/>
        <v>189938.69066502029</v>
      </c>
    </row>
    <row r="188" spans="1:6" x14ac:dyDescent="0.2">
      <c r="A188" s="15">
        <f t="shared" si="12"/>
        <v>175</v>
      </c>
      <c r="B188" s="16">
        <f t="shared" si="13"/>
        <v>14.583333333333334</v>
      </c>
      <c r="C188" s="17">
        <f t="shared" si="14"/>
        <v>189938.69066502029</v>
      </c>
      <c r="D188" s="17">
        <f t="shared" si="15"/>
        <v>237.42336333127537</v>
      </c>
      <c r="E188" s="17">
        <f t="shared" si="16"/>
        <v>3000</v>
      </c>
      <c r="F188" s="17">
        <f t="shared" si="17"/>
        <v>187176.11402835156</v>
      </c>
    </row>
    <row r="189" spans="1:6" x14ac:dyDescent="0.2">
      <c r="A189" s="38">
        <f t="shared" si="12"/>
        <v>176</v>
      </c>
      <c r="B189" s="39">
        <f t="shared" si="13"/>
        <v>14.666666666666666</v>
      </c>
      <c r="C189" s="40">
        <f t="shared" si="14"/>
        <v>187176.11402835156</v>
      </c>
      <c r="D189" s="40">
        <f t="shared" si="15"/>
        <v>233.97014253543944</v>
      </c>
      <c r="E189" s="40">
        <f t="shared" si="16"/>
        <v>3000</v>
      </c>
      <c r="F189" s="40">
        <f t="shared" si="17"/>
        <v>184410.08417088698</v>
      </c>
    </row>
    <row r="190" spans="1:6" x14ac:dyDescent="0.2">
      <c r="A190" s="15">
        <f t="shared" si="12"/>
        <v>177</v>
      </c>
      <c r="B190" s="16">
        <f t="shared" si="13"/>
        <v>14.75</v>
      </c>
      <c r="C190" s="17">
        <f t="shared" si="14"/>
        <v>184410.08417088698</v>
      </c>
      <c r="D190" s="17">
        <f t="shared" si="15"/>
        <v>230.51260521360871</v>
      </c>
      <c r="E190" s="17">
        <f t="shared" si="16"/>
        <v>3000</v>
      </c>
      <c r="F190" s="17">
        <f t="shared" si="17"/>
        <v>181640.5967761006</v>
      </c>
    </row>
    <row r="191" spans="1:6" x14ac:dyDescent="0.2">
      <c r="A191" s="38">
        <f t="shared" si="12"/>
        <v>178</v>
      </c>
      <c r="B191" s="39">
        <f t="shared" si="13"/>
        <v>14.833333333333334</v>
      </c>
      <c r="C191" s="40">
        <f t="shared" si="14"/>
        <v>181640.5967761006</v>
      </c>
      <c r="D191" s="40">
        <f t="shared" si="15"/>
        <v>227.05074597012575</v>
      </c>
      <c r="E191" s="40">
        <f t="shared" si="16"/>
        <v>3000</v>
      </c>
      <c r="F191" s="40">
        <f t="shared" si="17"/>
        <v>178867.64752207074</v>
      </c>
    </row>
    <row r="192" spans="1:6" x14ac:dyDescent="0.2">
      <c r="A192" s="15">
        <f t="shared" si="12"/>
        <v>179</v>
      </c>
      <c r="B192" s="16">
        <f t="shared" si="13"/>
        <v>14.916666666666666</v>
      </c>
      <c r="C192" s="17">
        <f t="shared" si="14"/>
        <v>178867.64752207074</v>
      </c>
      <c r="D192" s="17">
        <f t="shared" si="15"/>
        <v>223.58455940258841</v>
      </c>
      <c r="E192" s="17">
        <f t="shared" si="16"/>
        <v>3000</v>
      </c>
      <c r="F192" s="17">
        <f t="shared" si="17"/>
        <v>176091.23208147331</v>
      </c>
    </row>
    <row r="193" spans="1:6" x14ac:dyDescent="0.2">
      <c r="A193" s="38">
        <f t="shared" si="12"/>
        <v>180</v>
      </c>
      <c r="B193" s="39">
        <f t="shared" si="13"/>
        <v>15</v>
      </c>
      <c r="C193" s="40">
        <f t="shared" si="14"/>
        <v>176091.23208147331</v>
      </c>
      <c r="D193" s="40">
        <f t="shared" si="15"/>
        <v>220.11404010184162</v>
      </c>
      <c r="E193" s="40">
        <f t="shared" si="16"/>
        <v>3000</v>
      </c>
      <c r="F193" s="40">
        <f t="shared" si="17"/>
        <v>173311.34612157516</v>
      </c>
    </row>
    <row r="194" spans="1:6" x14ac:dyDescent="0.2">
      <c r="A194" s="15">
        <f t="shared" si="12"/>
        <v>181</v>
      </c>
      <c r="B194" s="16">
        <f t="shared" si="13"/>
        <v>15.083333333333334</v>
      </c>
      <c r="C194" s="17">
        <f t="shared" si="14"/>
        <v>173311.34612157516</v>
      </c>
      <c r="D194" s="17">
        <f t="shared" si="15"/>
        <v>216.63918265196892</v>
      </c>
      <c r="E194" s="17">
        <f t="shared" si="16"/>
        <v>3000</v>
      </c>
      <c r="F194" s="17">
        <f t="shared" si="17"/>
        <v>170527.98530422713</v>
      </c>
    </row>
    <row r="195" spans="1:6" x14ac:dyDescent="0.2">
      <c r="A195" s="38">
        <f t="shared" si="12"/>
        <v>182</v>
      </c>
      <c r="B195" s="39">
        <f t="shared" si="13"/>
        <v>15.166666666666666</v>
      </c>
      <c r="C195" s="40">
        <f t="shared" si="14"/>
        <v>170527.98530422713</v>
      </c>
      <c r="D195" s="40">
        <f t="shared" si="15"/>
        <v>213.15998163028391</v>
      </c>
      <c r="E195" s="40">
        <f t="shared" si="16"/>
        <v>3000</v>
      </c>
      <c r="F195" s="40">
        <f t="shared" si="17"/>
        <v>167741.1452858574</v>
      </c>
    </row>
    <row r="196" spans="1:6" x14ac:dyDescent="0.2">
      <c r="A196" s="15">
        <f t="shared" si="12"/>
        <v>183</v>
      </c>
      <c r="B196" s="16">
        <f t="shared" si="13"/>
        <v>15.25</v>
      </c>
      <c r="C196" s="17">
        <f t="shared" si="14"/>
        <v>167741.1452858574</v>
      </c>
      <c r="D196" s="17">
        <f t="shared" si="15"/>
        <v>209.67643160732175</v>
      </c>
      <c r="E196" s="17">
        <f t="shared" si="16"/>
        <v>3000</v>
      </c>
      <c r="F196" s="17">
        <f t="shared" si="17"/>
        <v>164950.82171746471</v>
      </c>
    </row>
    <row r="197" spans="1:6" x14ac:dyDescent="0.2">
      <c r="A197" s="38">
        <f t="shared" si="12"/>
        <v>184</v>
      </c>
      <c r="B197" s="39">
        <f t="shared" si="13"/>
        <v>15.333333333333334</v>
      </c>
      <c r="C197" s="40">
        <f t="shared" si="14"/>
        <v>164950.82171746471</v>
      </c>
      <c r="D197" s="40">
        <f t="shared" si="15"/>
        <v>206.18852714683089</v>
      </c>
      <c r="E197" s="40">
        <f t="shared" si="16"/>
        <v>3000</v>
      </c>
      <c r="F197" s="40">
        <f t="shared" si="17"/>
        <v>162157.01024461153</v>
      </c>
    </row>
    <row r="198" spans="1:6" x14ac:dyDescent="0.2">
      <c r="A198" s="15">
        <f t="shared" si="12"/>
        <v>185</v>
      </c>
      <c r="B198" s="16">
        <f t="shared" si="13"/>
        <v>15.416666666666666</v>
      </c>
      <c r="C198" s="17">
        <f t="shared" si="14"/>
        <v>162157.01024461153</v>
      </c>
      <c r="D198" s="17">
        <f t="shared" si="15"/>
        <v>202.69626280576441</v>
      </c>
      <c r="E198" s="17">
        <f t="shared" si="16"/>
        <v>3000</v>
      </c>
      <c r="F198" s="17">
        <f t="shared" si="17"/>
        <v>159359.70650741729</v>
      </c>
    </row>
    <row r="199" spans="1:6" x14ac:dyDescent="0.2">
      <c r="A199" s="38">
        <f t="shared" si="12"/>
        <v>186</v>
      </c>
      <c r="B199" s="39">
        <f t="shared" si="13"/>
        <v>15.5</v>
      </c>
      <c r="C199" s="40">
        <f t="shared" si="14"/>
        <v>159359.70650741729</v>
      </c>
      <c r="D199" s="40">
        <f t="shared" si="15"/>
        <v>199.19963313427161</v>
      </c>
      <c r="E199" s="40">
        <f t="shared" si="16"/>
        <v>3000</v>
      </c>
      <c r="F199" s="40">
        <f t="shared" si="17"/>
        <v>156558.90614055155</v>
      </c>
    </row>
    <row r="200" spans="1:6" x14ac:dyDescent="0.2">
      <c r="A200" s="15">
        <f t="shared" si="12"/>
        <v>187</v>
      </c>
      <c r="B200" s="16">
        <f t="shared" si="13"/>
        <v>15.583333333333334</v>
      </c>
      <c r="C200" s="17">
        <f t="shared" si="14"/>
        <v>156558.90614055155</v>
      </c>
      <c r="D200" s="17">
        <f t="shared" si="15"/>
        <v>195.69863267568942</v>
      </c>
      <c r="E200" s="17">
        <f t="shared" si="16"/>
        <v>3000</v>
      </c>
      <c r="F200" s="17">
        <f t="shared" si="17"/>
        <v>153754.60477322724</v>
      </c>
    </row>
    <row r="201" spans="1:6" x14ac:dyDescent="0.2">
      <c r="A201" s="38">
        <f t="shared" si="12"/>
        <v>188</v>
      </c>
      <c r="B201" s="39">
        <f t="shared" si="13"/>
        <v>15.666666666666666</v>
      </c>
      <c r="C201" s="40">
        <f t="shared" si="14"/>
        <v>153754.60477322724</v>
      </c>
      <c r="D201" s="40">
        <f t="shared" si="15"/>
        <v>192.19325596653405</v>
      </c>
      <c r="E201" s="40">
        <f t="shared" si="16"/>
        <v>3000</v>
      </c>
      <c r="F201" s="40">
        <f t="shared" si="17"/>
        <v>150946.79802919377</v>
      </c>
    </row>
    <row r="202" spans="1:6" x14ac:dyDescent="0.2">
      <c r="A202" s="15">
        <f t="shared" si="12"/>
        <v>189</v>
      </c>
      <c r="B202" s="16">
        <f t="shared" si="13"/>
        <v>15.75</v>
      </c>
      <c r="C202" s="17">
        <f t="shared" si="14"/>
        <v>150946.79802919377</v>
      </c>
      <c r="D202" s="17">
        <f t="shared" si="15"/>
        <v>188.68349753649218</v>
      </c>
      <c r="E202" s="17">
        <f t="shared" si="16"/>
        <v>3000</v>
      </c>
      <c r="F202" s="17">
        <f t="shared" si="17"/>
        <v>148135.48152673026</v>
      </c>
    </row>
    <row r="203" spans="1:6" x14ac:dyDescent="0.2">
      <c r="A203" s="38">
        <f t="shared" si="12"/>
        <v>190</v>
      </c>
      <c r="B203" s="39">
        <f t="shared" si="13"/>
        <v>15.833333333333334</v>
      </c>
      <c r="C203" s="40">
        <f t="shared" si="14"/>
        <v>148135.48152673026</v>
      </c>
      <c r="D203" s="40">
        <f t="shared" si="15"/>
        <v>185.16935190841284</v>
      </c>
      <c r="E203" s="40">
        <f t="shared" si="16"/>
        <v>3000</v>
      </c>
      <c r="F203" s="40">
        <f t="shared" si="17"/>
        <v>145320.65087863867</v>
      </c>
    </row>
    <row r="204" spans="1:6" x14ac:dyDescent="0.2">
      <c r="A204" s="15">
        <f t="shared" si="12"/>
        <v>191</v>
      </c>
      <c r="B204" s="16">
        <f t="shared" si="13"/>
        <v>15.916666666666666</v>
      </c>
      <c r="C204" s="17">
        <f t="shared" si="14"/>
        <v>145320.65087863867</v>
      </c>
      <c r="D204" s="17">
        <f t="shared" si="15"/>
        <v>181.65081359829833</v>
      </c>
      <c r="E204" s="17">
        <f t="shared" si="16"/>
        <v>3000</v>
      </c>
      <c r="F204" s="17">
        <f t="shared" si="17"/>
        <v>142502.30169223697</v>
      </c>
    </row>
    <row r="205" spans="1:6" x14ac:dyDescent="0.2">
      <c r="A205" s="38">
        <f t="shared" si="12"/>
        <v>192</v>
      </c>
      <c r="B205" s="39">
        <f t="shared" si="13"/>
        <v>16</v>
      </c>
      <c r="C205" s="40">
        <f t="shared" si="14"/>
        <v>142502.30169223697</v>
      </c>
      <c r="D205" s="40">
        <f t="shared" si="15"/>
        <v>178.1278771152962</v>
      </c>
      <c r="E205" s="40">
        <f t="shared" si="16"/>
        <v>3000</v>
      </c>
      <c r="F205" s="40">
        <f t="shared" si="17"/>
        <v>139680.42956935227</v>
      </c>
    </row>
    <row r="206" spans="1:6" x14ac:dyDescent="0.2">
      <c r="A206" s="15">
        <f t="shared" si="12"/>
        <v>193</v>
      </c>
      <c r="B206" s="16">
        <f t="shared" si="13"/>
        <v>16.083333333333332</v>
      </c>
      <c r="C206" s="17">
        <f t="shared" si="14"/>
        <v>139680.42956935227</v>
      </c>
      <c r="D206" s="17">
        <f t="shared" si="15"/>
        <v>174.60053696169032</v>
      </c>
      <c r="E206" s="17">
        <f t="shared" si="16"/>
        <v>3000</v>
      </c>
      <c r="F206" s="17">
        <f t="shared" si="17"/>
        <v>136855.03010631396</v>
      </c>
    </row>
    <row r="207" spans="1:6" x14ac:dyDescent="0.2">
      <c r="A207" s="38">
        <f t="shared" ref="A207:A270" si="18">IF(A206&lt;$B$5*12,A206+1,"")</f>
        <v>194</v>
      </c>
      <c r="B207" s="39">
        <f t="shared" ref="B207:B270" si="19">IF(A207="","",A207/12)</f>
        <v>16.166666666666668</v>
      </c>
      <c r="C207" s="40">
        <f t="shared" ref="C207:C270" si="20">IF(A207="","",F206)</f>
        <v>136855.03010631396</v>
      </c>
      <c r="D207" s="40">
        <f t="shared" ref="D207:D270" si="21">IF(A207="","",C207*$B$7/12)</f>
        <v>171.06878763289242</v>
      </c>
      <c r="E207" s="40">
        <f t="shared" ref="E207:E270" si="22">IF(A207="","",MIN($B$6,C207+D207))</f>
        <v>3000</v>
      </c>
      <c r="F207" s="40">
        <f t="shared" ref="F207:F270" si="23">IF(A207="","",MAX(0,C207+D207-E207))</f>
        <v>134026.09889394685</v>
      </c>
    </row>
    <row r="208" spans="1:6" x14ac:dyDescent="0.2">
      <c r="A208" s="15">
        <f t="shared" si="18"/>
        <v>195</v>
      </c>
      <c r="B208" s="16">
        <f t="shared" si="19"/>
        <v>16.25</v>
      </c>
      <c r="C208" s="17">
        <f t="shared" si="20"/>
        <v>134026.09889394685</v>
      </c>
      <c r="D208" s="17">
        <f t="shared" si="21"/>
        <v>167.53262361743356</v>
      </c>
      <c r="E208" s="17">
        <f t="shared" si="22"/>
        <v>3000</v>
      </c>
      <c r="F208" s="17">
        <f t="shared" si="23"/>
        <v>131193.6315175643</v>
      </c>
    </row>
    <row r="209" spans="1:6" x14ac:dyDescent="0.2">
      <c r="A209" s="38">
        <f t="shared" si="18"/>
        <v>196</v>
      </c>
      <c r="B209" s="39">
        <f t="shared" si="19"/>
        <v>16.333333333333332</v>
      </c>
      <c r="C209" s="40">
        <f t="shared" si="20"/>
        <v>131193.6315175643</v>
      </c>
      <c r="D209" s="40">
        <f t="shared" si="21"/>
        <v>163.99203939695536</v>
      </c>
      <c r="E209" s="40">
        <f t="shared" si="22"/>
        <v>3000</v>
      </c>
      <c r="F209" s="40">
        <f t="shared" si="23"/>
        <v>128357.62355696125</v>
      </c>
    </row>
    <row r="210" spans="1:6" x14ac:dyDescent="0.2">
      <c r="A210" s="15">
        <f t="shared" si="18"/>
        <v>197</v>
      </c>
      <c r="B210" s="16">
        <f t="shared" si="19"/>
        <v>16.416666666666668</v>
      </c>
      <c r="C210" s="17">
        <f t="shared" si="20"/>
        <v>128357.62355696125</v>
      </c>
      <c r="D210" s="17">
        <f t="shared" si="21"/>
        <v>160.44702944620155</v>
      </c>
      <c r="E210" s="17">
        <f t="shared" si="22"/>
        <v>3000</v>
      </c>
      <c r="F210" s="17">
        <f t="shared" si="23"/>
        <v>125518.07058640746</v>
      </c>
    </row>
    <row r="211" spans="1:6" x14ac:dyDescent="0.2">
      <c r="A211" s="38">
        <f t="shared" si="18"/>
        <v>198</v>
      </c>
      <c r="B211" s="39">
        <f t="shared" si="19"/>
        <v>16.5</v>
      </c>
      <c r="C211" s="40">
        <f t="shared" si="20"/>
        <v>125518.07058640746</v>
      </c>
      <c r="D211" s="40">
        <f t="shared" si="21"/>
        <v>156.89758823300932</v>
      </c>
      <c r="E211" s="40">
        <f t="shared" si="22"/>
        <v>3000</v>
      </c>
      <c r="F211" s="40">
        <f t="shared" si="23"/>
        <v>122674.96817464047</v>
      </c>
    </row>
    <row r="212" spans="1:6" x14ac:dyDescent="0.2">
      <c r="A212" s="15">
        <f t="shared" si="18"/>
        <v>199</v>
      </c>
      <c r="B212" s="16">
        <f t="shared" si="19"/>
        <v>16.583333333333332</v>
      </c>
      <c r="C212" s="17">
        <f t="shared" si="20"/>
        <v>122674.96817464047</v>
      </c>
      <c r="D212" s="17">
        <f t="shared" si="21"/>
        <v>153.34371021830057</v>
      </c>
      <c r="E212" s="17">
        <f t="shared" si="22"/>
        <v>3000</v>
      </c>
      <c r="F212" s="17">
        <f t="shared" si="23"/>
        <v>119828.31188485876</v>
      </c>
    </row>
    <row r="213" spans="1:6" x14ac:dyDescent="0.2">
      <c r="A213" s="38">
        <f t="shared" si="18"/>
        <v>200</v>
      </c>
      <c r="B213" s="39">
        <f t="shared" si="19"/>
        <v>16.666666666666668</v>
      </c>
      <c r="C213" s="40">
        <f t="shared" si="20"/>
        <v>119828.31188485876</v>
      </c>
      <c r="D213" s="40">
        <f t="shared" si="21"/>
        <v>149.78538985607346</v>
      </c>
      <c r="E213" s="40">
        <f t="shared" si="22"/>
        <v>3000</v>
      </c>
      <c r="F213" s="40">
        <f t="shared" si="23"/>
        <v>116978.09727471483</v>
      </c>
    </row>
    <row r="214" spans="1:6" x14ac:dyDescent="0.2">
      <c r="A214" s="15">
        <f t="shared" si="18"/>
        <v>201</v>
      </c>
      <c r="B214" s="16">
        <f t="shared" si="19"/>
        <v>16.75</v>
      </c>
      <c r="C214" s="17">
        <f t="shared" si="20"/>
        <v>116978.09727471483</v>
      </c>
      <c r="D214" s="17">
        <f t="shared" si="21"/>
        <v>146.22262159339354</v>
      </c>
      <c r="E214" s="17">
        <f t="shared" si="22"/>
        <v>3000</v>
      </c>
      <c r="F214" s="17">
        <f t="shared" si="23"/>
        <v>114124.31989630822</v>
      </c>
    </row>
    <row r="215" spans="1:6" x14ac:dyDescent="0.2">
      <c r="A215" s="38">
        <f t="shared" si="18"/>
        <v>202</v>
      </c>
      <c r="B215" s="39">
        <f t="shared" si="19"/>
        <v>16.833333333333332</v>
      </c>
      <c r="C215" s="40">
        <f t="shared" si="20"/>
        <v>114124.31989630822</v>
      </c>
      <c r="D215" s="40">
        <f t="shared" si="21"/>
        <v>142.65539987038528</v>
      </c>
      <c r="E215" s="40">
        <f t="shared" si="22"/>
        <v>3000</v>
      </c>
      <c r="F215" s="40">
        <f t="shared" si="23"/>
        <v>111266.97529617861</v>
      </c>
    </row>
    <row r="216" spans="1:6" x14ac:dyDescent="0.2">
      <c r="A216" s="15">
        <f t="shared" si="18"/>
        <v>203</v>
      </c>
      <c r="B216" s="16">
        <f t="shared" si="19"/>
        <v>16.916666666666668</v>
      </c>
      <c r="C216" s="17">
        <f t="shared" si="20"/>
        <v>111266.97529617861</v>
      </c>
      <c r="D216" s="17">
        <f t="shared" si="21"/>
        <v>139.08371912022326</v>
      </c>
      <c r="E216" s="17">
        <f t="shared" si="22"/>
        <v>3000</v>
      </c>
      <c r="F216" s="17">
        <f t="shared" si="23"/>
        <v>108406.05901529884</v>
      </c>
    </row>
    <row r="217" spans="1:6" x14ac:dyDescent="0.2">
      <c r="A217" s="38">
        <f t="shared" si="18"/>
        <v>204</v>
      </c>
      <c r="B217" s="39">
        <f t="shared" si="19"/>
        <v>17</v>
      </c>
      <c r="C217" s="40">
        <f t="shared" si="20"/>
        <v>108406.05901529884</v>
      </c>
      <c r="D217" s="40">
        <f t="shared" si="21"/>
        <v>135.50757376912355</v>
      </c>
      <c r="E217" s="40">
        <f t="shared" si="22"/>
        <v>3000</v>
      </c>
      <c r="F217" s="40">
        <f t="shared" si="23"/>
        <v>105541.56658906797</v>
      </c>
    </row>
    <row r="218" spans="1:6" x14ac:dyDescent="0.2">
      <c r="A218" s="15">
        <f t="shared" si="18"/>
        <v>205</v>
      </c>
      <c r="B218" s="16">
        <f t="shared" si="19"/>
        <v>17.083333333333332</v>
      </c>
      <c r="C218" s="17">
        <f t="shared" si="20"/>
        <v>105541.56658906797</v>
      </c>
      <c r="D218" s="17">
        <f t="shared" si="21"/>
        <v>131.92695823633497</v>
      </c>
      <c r="E218" s="17">
        <f t="shared" si="22"/>
        <v>3000</v>
      </c>
      <c r="F218" s="17">
        <f t="shared" si="23"/>
        <v>102673.4935473043</v>
      </c>
    </row>
    <row r="219" spans="1:6" x14ac:dyDescent="0.2">
      <c r="A219" s="38">
        <f t="shared" si="18"/>
        <v>206</v>
      </c>
      <c r="B219" s="39">
        <f t="shared" si="19"/>
        <v>17.166666666666668</v>
      </c>
      <c r="C219" s="40">
        <f t="shared" si="20"/>
        <v>102673.4935473043</v>
      </c>
      <c r="D219" s="40">
        <f t="shared" si="21"/>
        <v>128.34186693413037</v>
      </c>
      <c r="E219" s="40">
        <f t="shared" si="22"/>
        <v>3000</v>
      </c>
      <c r="F219" s="40">
        <f t="shared" si="23"/>
        <v>99801.835414238434</v>
      </c>
    </row>
    <row r="220" spans="1:6" x14ac:dyDescent="0.2">
      <c r="A220" s="15">
        <f t="shared" si="18"/>
        <v>207</v>
      </c>
      <c r="B220" s="16">
        <f t="shared" si="19"/>
        <v>17.25</v>
      </c>
      <c r="C220" s="17">
        <f t="shared" si="20"/>
        <v>99801.835414238434</v>
      </c>
      <c r="D220" s="17">
        <f t="shared" si="21"/>
        <v>124.75229426779804</v>
      </c>
      <c r="E220" s="17">
        <f t="shared" si="22"/>
        <v>3000</v>
      </c>
      <c r="F220" s="17">
        <f t="shared" si="23"/>
        <v>96926.587708506238</v>
      </c>
    </row>
    <row r="221" spans="1:6" x14ac:dyDescent="0.2">
      <c r="A221" s="38">
        <f t="shared" si="18"/>
        <v>208</v>
      </c>
      <c r="B221" s="39">
        <f t="shared" si="19"/>
        <v>17.333333333333332</v>
      </c>
      <c r="C221" s="40">
        <f t="shared" si="20"/>
        <v>96926.587708506238</v>
      </c>
      <c r="D221" s="40">
        <f t="shared" si="21"/>
        <v>121.15823463563278</v>
      </c>
      <c r="E221" s="40">
        <f t="shared" si="22"/>
        <v>3000</v>
      </c>
      <c r="F221" s="40">
        <f t="shared" si="23"/>
        <v>94047.745943141868</v>
      </c>
    </row>
    <row r="222" spans="1:6" x14ac:dyDescent="0.2">
      <c r="A222" s="15">
        <f t="shared" si="18"/>
        <v>209</v>
      </c>
      <c r="B222" s="16">
        <f t="shared" si="19"/>
        <v>17.416666666666668</v>
      </c>
      <c r="C222" s="17">
        <f t="shared" si="20"/>
        <v>94047.745943141868</v>
      </c>
      <c r="D222" s="17">
        <f t="shared" si="21"/>
        <v>117.55968242892733</v>
      </c>
      <c r="E222" s="17">
        <f t="shared" si="22"/>
        <v>3000</v>
      </c>
      <c r="F222" s="17">
        <f t="shared" si="23"/>
        <v>91165.305625570792</v>
      </c>
    </row>
    <row r="223" spans="1:6" x14ac:dyDescent="0.2">
      <c r="A223" s="38">
        <f t="shared" si="18"/>
        <v>210</v>
      </c>
      <c r="B223" s="39">
        <f t="shared" si="19"/>
        <v>17.5</v>
      </c>
      <c r="C223" s="40">
        <f t="shared" si="20"/>
        <v>91165.305625570792</v>
      </c>
      <c r="D223" s="40">
        <f t="shared" si="21"/>
        <v>113.95663203196348</v>
      </c>
      <c r="E223" s="40">
        <f t="shared" si="22"/>
        <v>3000</v>
      </c>
      <c r="F223" s="40">
        <f t="shared" si="23"/>
        <v>88279.26225760275</v>
      </c>
    </row>
    <row r="224" spans="1:6" x14ac:dyDescent="0.2">
      <c r="A224" s="15">
        <f t="shared" si="18"/>
        <v>211</v>
      </c>
      <c r="B224" s="16">
        <f t="shared" si="19"/>
        <v>17.583333333333332</v>
      </c>
      <c r="C224" s="17">
        <f t="shared" si="20"/>
        <v>88279.26225760275</v>
      </c>
      <c r="D224" s="17">
        <f t="shared" si="21"/>
        <v>110.34907782200344</v>
      </c>
      <c r="E224" s="17">
        <f t="shared" si="22"/>
        <v>3000</v>
      </c>
      <c r="F224" s="17">
        <f t="shared" si="23"/>
        <v>85389.61133542475</v>
      </c>
    </row>
    <row r="225" spans="1:6" x14ac:dyDescent="0.2">
      <c r="A225" s="38">
        <f t="shared" si="18"/>
        <v>212</v>
      </c>
      <c r="B225" s="39">
        <f t="shared" si="19"/>
        <v>17.666666666666668</v>
      </c>
      <c r="C225" s="40">
        <f t="shared" si="20"/>
        <v>85389.61133542475</v>
      </c>
      <c r="D225" s="40">
        <f t="shared" si="21"/>
        <v>106.73701416928094</v>
      </c>
      <c r="E225" s="40">
        <f t="shared" si="22"/>
        <v>3000</v>
      </c>
      <c r="F225" s="40">
        <f t="shared" si="23"/>
        <v>82496.348349594031</v>
      </c>
    </row>
    <row r="226" spans="1:6" x14ac:dyDescent="0.2">
      <c r="A226" s="15">
        <f t="shared" si="18"/>
        <v>213</v>
      </c>
      <c r="B226" s="16">
        <f t="shared" si="19"/>
        <v>17.75</v>
      </c>
      <c r="C226" s="17">
        <f t="shared" si="20"/>
        <v>82496.348349594031</v>
      </c>
      <c r="D226" s="17">
        <f t="shared" si="21"/>
        <v>103.12043543699254</v>
      </c>
      <c r="E226" s="17">
        <f t="shared" si="22"/>
        <v>3000</v>
      </c>
      <c r="F226" s="17">
        <f t="shared" si="23"/>
        <v>79599.468785031029</v>
      </c>
    </row>
    <row r="227" spans="1:6" x14ac:dyDescent="0.2">
      <c r="A227" s="38">
        <f t="shared" si="18"/>
        <v>214</v>
      </c>
      <c r="B227" s="39">
        <f t="shared" si="19"/>
        <v>17.833333333333332</v>
      </c>
      <c r="C227" s="40">
        <f t="shared" si="20"/>
        <v>79599.468785031029</v>
      </c>
      <c r="D227" s="40">
        <f t="shared" si="21"/>
        <v>99.49933598128878</v>
      </c>
      <c r="E227" s="40">
        <f t="shared" si="22"/>
        <v>3000</v>
      </c>
      <c r="F227" s="40">
        <f t="shared" si="23"/>
        <v>76698.968121012324</v>
      </c>
    </row>
    <row r="228" spans="1:6" x14ac:dyDescent="0.2">
      <c r="A228" s="15">
        <f t="shared" si="18"/>
        <v>215</v>
      </c>
      <c r="B228" s="16">
        <f t="shared" si="19"/>
        <v>17.916666666666668</v>
      </c>
      <c r="C228" s="17">
        <f t="shared" si="20"/>
        <v>76698.968121012324</v>
      </c>
      <c r="D228" s="17">
        <f t="shared" si="21"/>
        <v>95.873710151265399</v>
      </c>
      <c r="E228" s="17">
        <f t="shared" si="22"/>
        <v>3000</v>
      </c>
      <c r="F228" s="17">
        <f t="shared" si="23"/>
        <v>73794.841831163591</v>
      </c>
    </row>
    <row r="229" spans="1:6" x14ac:dyDescent="0.2">
      <c r="A229" s="38">
        <f t="shared" si="18"/>
        <v>216</v>
      </c>
      <c r="B229" s="39">
        <f t="shared" si="19"/>
        <v>18</v>
      </c>
      <c r="C229" s="40">
        <f t="shared" si="20"/>
        <v>73794.841831163591</v>
      </c>
      <c r="D229" s="40">
        <f t="shared" si="21"/>
        <v>92.24355228895449</v>
      </c>
      <c r="E229" s="40">
        <f t="shared" si="22"/>
        <v>3000</v>
      </c>
      <c r="F229" s="40">
        <f t="shared" si="23"/>
        <v>70887.085383452548</v>
      </c>
    </row>
    <row r="230" spans="1:6" x14ac:dyDescent="0.2">
      <c r="A230" s="15">
        <f t="shared" si="18"/>
        <v>217</v>
      </c>
      <c r="B230" s="16">
        <f t="shared" si="19"/>
        <v>18.083333333333332</v>
      </c>
      <c r="C230" s="17">
        <f t="shared" si="20"/>
        <v>70887.085383452548</v>
      </c>
      <c r="D230" s="17">
        <f t="shared" si="21"/>
        <v>88.608856729315676</v>
      </c>
      <c r="E230" s="17">
        <f t="shared" si="22"/>
        <v>3000</v>
      </c>
      <c r="F230" s="17">
        <f t="shared" si="23"/>
        <v>67975.694240181867</v>
      </c>
    </row>
    <row r="231" spans="1:6" x14ac:dyDescent="0.2">
      <c r="A231" s="38">
        <f t="shared" si="18"/>
        <v>218</v>
      </c>
      <c r="B231" s="39">
        <f t="shared" si="19"/>
        <v>18.166666666666668</v>
      </c>
      <c r="C231" s="40">
        <f t="shared" si="20"/>
        <v>67975.694240181867</v>
      </c>
      <c r="D231" s="40">
        <f t="shared" si="21"/>
        <v>84.96961780022734</v>
      </c>
      <c r="E231" s="40">
        <f t="shared" si="22"/>
        <v>3000</v>
      </c>
      <c r="F231" s="40">
        <f t="shared" si="23"/>
        <v>65060.663857982101</v>
      </c>
    </row>
    <row r="232" spans="1:6" x14ac:dyDescent="0.2">
      <c r="A232" s="15">
        <f t="shared" si="18"/>
        <v>219</v>
      </c>
      <c r="B232" s="16">
        <f t="shared" si="19"/>
        <v>18.25</v>
      </c>
      <c r="C232" s="17">
        <f t="shared" si="20"/>
        <v>65060.663857982101</v>
      </c>
      <c r="D232" s="17">
        <f t="shared" si="21"/>
        <v>81.325829822477615</v>
      </c>
      <c r="E232" s="17">
        <f t="shared" si="22"/>
        <v>3000</v>
      </c>
      <c r="F232" s="17">
        <f t="shared" si="23"/>
        <v>62141.989687804577</v>
      </c>
    </row>
    <row r="233" spans="1:6" x14ac:dyDescent="0.2">
      <c r="A233" s="38">
        <f t="shared" si="18"/>
        <v>220</v>
      </c>
      <c r="B233" s="39">
        <f t="shared" si="19"/>
        <v>18.333333333333332</v>
      </c>
      <c r="C233" s="40">
        <f t="shared" si="20"/>
        <v>62141.989687804577</v>
      </c>
      <c r="D233" s="40">
        <f t="shared" si="21"/>
        <v>77.677487109755717</v>
      </c>
      <c r="E233" s="40">
        <f t="shared" si="22"/>
        <v>3000</v>
      </c>
      <c r="F233" s="40">
        <f t="shared" si="23"/>
        <v>59219.667174914335</v>
      </c>
    </row>
    <row r="234" spans="1:6" x14ac:dyDescent="0.2">
      <c r="A234" s="15">
        <f t="shared" si="18"/>
        <v>221</v>
      </c>
      <c r="B234" s="16">
        <f t="shared" si="19"/>
        <v>18.416666666666668</v>
      </c>
      <c r="C234" s="17">
        <f t="shared" si="20"/>
        <v>59219.667174914335</v>
      </c>
      <c r="D234" s="17">
        <f t="shared" si="21"/>
        <v>74.024583968642915</v>
      </c>
      <c r="E234" s="17">
        <f t="shared" si="22"/>
        <v>3000</v>
      </c>
      <c r="F234" s="17">
        <f t="shared" si="23"/>
        <v>56293.691758882975</v>
      </c>
    </row>
    <row r="235" spans="1:6" x14ac:dyDescent="0.2">
      <c r="A235" s="38">
        <f t="shared" si="18"/>
        <v>222</v>
      </c>
      <c r="B235" s="39">
        <f t="shared" si="19"/>
        <v>18.5</v>
      </c>
      <c r="C235" s="40">
        <f t="shared" si="20"/>
        <v>56293.691758882975</v>
      </c>
      <c r="D235" s="40">
        <f t="shared" si="21"/>
        <v>70.367114698603714</v>
      </c>
      <c r="E235" s="40">
        <f t="shared" si="22"/>
        <v>3000</v>
      </c>
      <c r="F235" s="40">
        <f t="shared" si="23"/>
        <v>53364.058873581576</v>
      </c>
    </row>
    <row r="236" spans="1:6" x14ac:dyDescent="0.2">
      <c r="A236" s="15">
        <f t="shared" si="18"/>
        <v>223</v>
      </c>
      <c r="B236" s="16">
        <f t="shared" si="19"/>
        <v>18.583333333333332</v>
      </c>
      <c r="C236" s="17">
        <f t="shared" si="20"/>
        <v>53364.058873581576</v>
      </c>
      <c r="D236" s="17">
        <f t="shared" si="21"/>
        <v>66.705073591976969</v>
      </c>
      <c r="E236" s="17">
        <f t="shared" si="22"/>
        <v>3000</v>
      </c>
      <c r="F236" s="17">
        <f t="shared" si="23"/>
        <v>50430.763947173553</v>
      </c>
    </row>
    <row r="237" spans="1:6" x14ac:dyDescent="0.2">
      <c r="A237" s="38">
        <f t="shared" si="18"/>
        <v>224</v>
      </c>
      <c r="B237" s="39">
        <f t="shared" si="19"/>
        <v>18.666666666666668</v>
      </c>
      <c r="C237" s="40">
        <f t="shared" si="20"/>
        <v>50430.763947173553</v>
      </c>
      <c r="D237" s="40">
        <f t="shared" si="21"/>
        <v>63.038454933966939</v>
      </c>
      <c r="E237" s="40">
        <f t="shared" si="22"/>
        <v>3000</v>
      </c>
      <c r="F237" s="40">
        <f t="shared" si="23"/>
        <v>47493.802402107518</v>
      </c>
    </row>
    <row r="238" spans="1:6" x14ac:dyDescent="0.2">
      <c r="A238" s="15">
        <f t="shared" si="18"/>
        <v>225</v>
      </c>
      <c r="B238" s="16">
        <f t="shared" si="19"/>
        <v>18.75</v>
      </c>
      <c r="C238" s="17">
        <f t="shared" si="20"/>
        <v>47493.802402107518</v>
      </c>
      <c r="D238" s="17">
        <f t="shared" si="21"/>
        <v>59.367253002634392</v>
      </c>
      <c r="E238" s="17">
        <f t="shared" si="22"/>
        <v>3000</v>
      </c>
      <c r="F238" s="17">
        <f t="shared" si="23"/>
        <v>44553.169655110156</v>
      </c>
    </row>
    <row r="239" spans="1:6" x14ac:dyDescent="0.2">
      <c r="A239" s="38">
        <f t="shared" si="18"/>
        <v>226</v>
      </c>
      <c r="B239" s="39">
        <f t="shared" si="19"/>
        <v>18.833333333333332</v>
      </c>
      <c r="C239" s="40">
        <f t="shared" si="20"/>
        <v>44553.169655110156</v>
      </c>
      <c r="D239" s="40">
        <f t="shared" si="21"/>
        <v>55.691462068887695</v>
      </c>
      <c r="E239" s="40">
        <f t="shared" si="22"/>
        <v>3000</v>
      </c>
      <c r="F239" s="40">
        <f t="shared" si="23"/>
        <v>41608.861117179047</v>
      </c>
    </row>
    <row r="240" spans="1:6" x14ac:dyDescent="0.2">
      <c r="A240" s="15">
        <f t="shared" si="18"/>
        <v>227</v>
      </c>
      <c r="B240" s="16">
        <f t="shared" si="19"/>
        <v>18.916666666666668</v>
      </c>
      <c r="C240" s="17">
        <f t="shared" si="20"/>
        <v>41608.861117179047</v>
      </c>
      <c r="D240" s="17">
        <f t="shared" si="21"/>
        <v>52.011076396473811</v>
      </c>
      <c r="E240" s="17">
        <f t="shared" si="22"/>
        <v>3000</v>
      </c>
      <c r="F240" s="17">
        <f t="shared" si="23"/>
        <v>38660.872193575524</v>
      </c>
    </row>
    <row r="241" spans="1:6" x14ac:dyDescent="0.2">
      <c r="A241" s="38">
        <f t="shared" si="18"/>
        <v>228</v>
      </c>
      <c r="B241" s="39">
        <f t="shared" si="19"/>
        <v>19</v>
      </c>
      <c r="C241" s="40">
        <f t="shared" si="20"/>
        <v>38660.872193575524</v>
      </c>
      <c r="D241" s="40">
        <f t="shared" si="21"/>
        <v>48.326090241969403</v>
      </c>
      <c r="E241" s="40">
        <f t="shared" si="22"/>
        <v>3000</v>
      </c>
      <c r="F241" s="40">
        <f t="shared" si="23"/>
        <v>35709.198283817495</v>
      </c>
    </row>
    <row r="242" spans="1:6" x14ac:dyDescent="0.2">
      <c r="A242" s="15">
        <f t="shared" si="18"/>
        <v>229</v>
      </c>
      <c r="B242" s="16">
        <f t="shared" si="19"/>
        <v>19.083333333333332</v>
      </c>
      <c r="C242" s="17">
        <f t="shared" si="20"/>
        <v>35709.198283817495</v>
      </c>
      <c r="D242" s="17">
        <f t="shared" si="21"/>
        <v>44.636497854771868</v>
      </c>
      <c r="E242" s="17">
        <f t="shared" si="22"/>
        <v>3000</v>
      </c>
      <c r="F242" s="17">
        <f t="shared" si="23"/>
        <v>32753.834781672267</v>
      </c>
    </row>
    <row r="243" spans="1:6" x14ac:dyDescent="0.2">
      <c r="A243" s="38">
        <f t="shared" si="18"/>
        <v>230</v>
      </c>
      <c r="B243" s="39">
        <f t="shared" si="19"/>
        <v>19.166666666666668</v>
      </c>
      <c r="C243" s="40">
        <f t="shared" si="20"/>
        <v>32753.834781672267</v>
      </c>
      <c r="D243" s="40">
        <f t="shared" si="21"/>
        <v>40.942293477090331</v>
      </c>
      <c r="E243" s="40">
        <f t="shared" si="22"/>
        <v>3000</v>
      </c>
      <c r="F243" s="40">
        <f t="shared" si="23"/>
        <v>29794.777075149359</v>
      </c>
    </row>
    <row r="244" spans="1:6" x14ac:dyDescent="0.2">
      <c r="A244" s="15">
        <f t="shared" si="18"/>
        <v>231</v>
      </c>
      <c r="B244" s="16">
        <f t="shared" si="19"/>
        <v>19.25</v>
      </c>
      <c r="C244" s="17">
        <f t="shared" si="20"/>
        <v>29794.777075149359</v>
      </c>
      <c r="D244" s="17">
        <f t="shared" si="21"/>
        <v>37.243471343936697</v>
      </c>
      <c r="E244" s="17">
        <f t="shared" si="22"/>
        <v>3000</v>
      </c>
      <c r="F244" s="17">
        <f t="shared" si="23"/>
        <v>26832.020546493295</v>
      </c>
    </row>
    <row r="245" spans="1:6" x14ac:dyDescent="0.2">
      <c r="A245" s="38">
        <f t="shared" si="18"/>
        <v>232</v>
      </c>
      <c r="B245" s="39">
        <f t="shared" si="19"/>
        <v>19.333333333333332</v>
      </c>
      <c r="C245" s="40">
        <f t="shared" si="20"/>
        <v>26832.020546493295</v>
      </c>
      <c r="D245" s="40">
        <f t="shared" si="21"/>
        <v>33.540025683116617</v>
      </c>
      <c r="E245" s="40">
        <f t="shared" si="22"/>
        <v>3000</v>
      </c>
      <c r="F245" s="40">
        <f t="shared" si="23"/>
        <v>23865.560572176411</v>
      </c>
    </row>
    <row r="246" spans="1:6" x14ac:dyDescent="0.2">
      <c r="A246" s="15">
        <f t="shared" si="18"/>
        <v>233</v>
      </c>
      <c r="B246" s="16">
        <f t="shared" si="19"/>
        <v>19.416666666666668</v>
      </c>
      <c r="C246" s="17">
        <f t="shared" si="20"/>
        <v>23865.560572176411</v>
      </c>
      <c r="D246" s="17">
        <f t="shared" si="21"/>
        <v>29.831950715220515</v>
      </c>
      <c r="E246" s="17">
        <f t="shared" si="22"/>
        <v>3000</v>
      </c>
      <c r="F246" s="17">
        <f t="shared" si="23"/>
        <v>20895.392522891631</v>
      </c>
    </row>
    <row r="247" spans="1:6" x14ac:dyDescent="0.2">
      <c r="A247" s="38">
        <f t="shared" si="18"/>
        <v>234</v>
      </c>
      <c r="B247" s="39">
        <f t="shared" si="19"/>
        <v>19.5</v>
      </c>
      <c r="C247" s="40">
        <f t="shared" si="20"/>
        <v>20895.392522891631</v>
      </c>
      <c r="D247" s="40">
        <f t="shared" si="21"/>
        <v>26.119240653614536</v>
      </c>
      <c r="E247" s="40">
        <f t="shared" si="22"/>
        <v>3000</v>
      </c>
      <c r="F247" s="40">
        <f t="shared" si="23"/>
        <v>17921.511763545244</v>
      </c>
    </row>
    <row r="248" spans="1:6" x14ac:dyDescent="0.2">
      <c r="A248" s="15">
        <f t="shared" si="18"/>
        <v>235</v>
      </c>
      <c r="B248" s="16">
        <f t="shared" si="19"/>
        <v>19.583333333333332</v>
      </c>
      <c r="C248" s="17">
        <f t="shared" si="20"/>
        <v>17921.511763545244</v>
      </c>
      <c r="D248" s="17">
        <f t="shared" si="21"/>
        <v>22.401889704431554</v>
      </c>
      <c r="E248" s="17">
        <f t="shared" si="22"/>
        <v>3000</v>
      </c>
      <c r="F248" s="17">
        <f t="shared" si="23"/>
        <v>14943.913653249674</v>
      </c>
    </row>
    <row r="249" spans="1:6" x14ac:dyDescent="0.2">
      <c r="A249" s="38">
        <f t="shared" si="18"/>
        <v>236</v>
      </c>
      <c r="B249" s="39">
        <f t="shared" si="19"/>
        <v>19.666666666666668</v>
      </c>
      <c r="C249" s="40">
        <f t="shared" si="20"/>
        <v>14943.913653249674</v>
      </c>
      <c r="D249" s="40">
        <f t="shared" si="21"/>
        <v>18.679892066562093</v>
      </c>
      <c r="E249" s="40">
        <f t="shared" si="22"/>
        <v>3000</v>
      </c>
      <c r="F249" s="40">
        <f t="shared" si="23"/>
        <v>11962.593545316236</v>
      </c>
    </row>
    <row r="250" spans="1:6" x14ac:dyDescent="0.2">
      <c r="A250" s="15">
        <f t="shared" si="18"/>
        <v>237</v>
      </c>
      <c r="B250" s="16">
        <f t="shared" si="19"/>
        <v>19.75</v>
      </c>
      <c r="C250" s="17">
        <f t="shared" si="20"/>
        <v>11962.593545316236</v>
      </c>
      <c r="D250" s="17">
        <f t="shared" si="21"/>
        <v>14.953241931645294</v>
      </c>
      <c r="E250" s="17">
        <f t="shared" si="22"/>
        <v>3000</v>
      </c>
      <c r="F250" s="17">
        <f t="shared" si="23"/>
        <v>8977.5467872478821</v>
      </c>
    </row>
    <row r="251" spans="1:6" x14ac:dyDescent="0.2">
      <c r="A251" s="38">
        <f t="shared" si="18"/>
        <v>238</v>
      </c>
      <c r="B251" s="39">
        <f t="shared" si="19"/>
        <v>19.833333333333332</v>
      </c>
      <c r="C251" s="40">
        <f t="shared" si="20"/>
        <v>8977.5467872478821</v>
      </c>
      <c r="D251" s="40">
        <f t="shared" si="21"/>
        <v>11.221933484059852</v>
      </c>
      <c r="E251" s="40">
        <f t="shared" si="22"/>
        <v>3000</v>
      </c>
      <c r="F251" s="40">
        <f t="shared" si="23"/>
        <v>5988.7687207319414</v>
      </c>
    </row>
    <row r="252" spans="1:6" x14ac:dyDescent="0.2">
      <c r="A252" s="15">
        <f t="shared" si="18"/>
        <v>239</v>
      </c>
      <c r="B252" s="16">
        <f t="shared" si="19"/>
        <v>19.916666666666668</v>
      </c>
      <c r="C252" s="17">
        <f t="shared" si="20"/>
        <v>5988.7687207319414</v>
      </c>
      <c r="D252" s="17">
        <f t="shared" si="21"/>
        <v>7.4859609009149262</v>
      </c>
      <c r="E252" s="17">
        <f t="shared" si="22"/>
        <v>3000</v>
      </c>
      <c r="F252" s="17">
        <f t="shared" si="23"/>
        <v>2996.2546816328559</v>
      </c>
    </row>
    <row r="253" spans="1:6" x14ac:dyDescent="0.2">
      <c r="A253" s="38">
        <f t="shared" si="18"/>
        <v>240</v>
      </c>
      <c r="B253" s="39">
        <f t="shared" si="19"/>
        <v>20</v>
      </c>
      <c r="C253" s="40">
        <f t="shared" si="20"/>
        <v>2996.2546816328559</v>
      </c>
      <c r="D253" s="40">
        <f t="shared" si="21"/>
        <v>3.7453183520410698</v>
      </c>
      <c r="E253" s="40">
        <f t="shared" si="22"/>
        <v>2999.9999999848969</v>
      </c>
      <c r="F253" s="40">
        <f t="shared" si="23"/>
        <v>0</v>
      </c>
    </row>
    <row r="254" spans="1:6" x14ac:dyDescent="0.2">
      <c r="A254" s="15" t="str">
        <f t="shared" si="18"/>
        <v/>
      </c>
      <c r="B254" s="16" t="str">
        <f t="shared" si="19"/>
        <v/>
      </c>
      <c r="C254" s="17" t="str">
        <f t="shared" si="20"/>
        <v/>
      </c>
      <c r="D254" s="17" t="str">
        <f t="shared" si="21"/>
        <v/>
      </c>
      <c r="E254" s="17" t="str">
        <f t="shared" si="22"/>
        <v/>
      </c>
      <c r="F254" s="17" t="str">
        <f t="shared" si="23"/>
        <v/>
      </c>
    </row>
    <row r="255" spans="1:6" x14ac:dyDescent="0.2">
      <c r="A255" s="38" t="str">
        <f t="shared" si="18"/>
        <v/>
      </c>
      <c r="B255" s="39" t="str">
        <f t="shared" si="19"/>
        <v/>
      </c>
      <c r="C255" s="40" t="str">
        <f t="shared" si="20"/>
        <v/>
      </c>
      <c r="D255" s="40" t="str">
        <f t="shared" si="21"/>
        <v/>
      </c>
      <c r="E255" s="40" t="str">
        <f t="shared" si="22"/>
        <v/>
      </c>
      <c r="F255" s="40" t="str">
        <f t="shared" si="23"/>
        <v/>
      </c>
    </row>
    <row r="256" spans="1:6" x14ac:dyDescent="0.2">
      <c r="A256" s="15" t="str">
        <f t="shared" si="18"/>
        <v/>
      </c>
      <c r="B256" s="16" t="str">
        <f t="shared" si="19"/>
        <v/>
      </c>
      <c r="C256" s="17" t="str">
        <f t="shared" si="20"/>
        <v/>
      </c>
      <c r="D256" s="17" t="str">
        <f t="shared" si="21"/>
        <v/>
      </c>
      <c r="E256" s="17" t="str">
        <f t="shared" si="22"/>
        <v/>
      </c>
      <c r="F256" s="17" t="str">
        <f t="shared" si="23"/>
        <v/>
      </c>
    </row>
    <row r="257" spans="1:6" x14ac:dyDescent="0.2">
      <c r="A257" s="38" t="str">
        <f t="shared" si="18"/>
        <v/>
      </c>
      <c r="B257" s="39" t="str">
        <f t="shared" si="19"/>
        <v/>
      </c>
      <c r="C257" s="40" t="str">
        <f t="shared" si="20"/>
        <v/>
      </c>
      <c r="D257" s="40" t="str">
        <f t="shared" si="21"/>
        <v/>
      </c>
      <c r="E257" s="40" t="str">
        <f t="shared" si="22"/>
        <v/>
      </c>
      <c r="F257" s="40" t="str">
        <f t="shared" si="23"/>
        <v/>
      </c>
    </row>
    <row r="258" spans="1:6" x14ac:dyDescent="0.2">
      <c r="A258" s="15" t="str">
        <f t="shared" si="18"/>
        <v/>
      </c>
      <c r="B258" s="16" t="str">
        <f t="shared" si="19"/>
        <v/>
      </c>
      <c r="C258" s="17" t="str">
        <f t="shared" si="20"/>
        <v/>
      </c>
      <c r="D258" s="17" t="str">
        <f t="shared" si="21"/>
        <v/>
      </c>
      <c r="E258" s="17" t="str">
        <f t="shared" si="22"/>
        <v/>
      </c>
      <c r="F258" s="17" t="str">
        <f t="shared" si="23"/>
        <v/>
      </c>
    </row>
    <row r="259" spans="1:6" x14ac:dyDescent="0.2">
      <c r="A259" s="38" t="str">
        <f t="shared" si="18"/>
        <v/>
      </c>
      <c r="B259" s="39" t="str">
        <f t="shared" si="19"/>
        <v/>
      </c>
      <c r="C259" s="40" t="str">
        <f t="shared" si="20"/>
        <v/>
      </c>
      <c r="D259" s="40" t="str">
        <f t="shared" si="21"/>
        <v/>
      </c>
      <c r="E259" s="40" t="str">
        <f t="shared" si="22"/>
        <v/>
      </c>
      <c r="F259" s="40" t="str">
        <f t="shared" si="23"/>
        <v/>
      </c>
    </row>
    <row r="260" spans="1:6" x14ac:dyDescent="0.2">
      <c r="A260" s="15" t="str">
        <f t="shared" si="18"/>
        <v/>
      </c>
      <c r="B260" s="16" t="str">
        <f t="shared" si="19"/>
        <v/>
      </c>
      <c r="C260" s="17" t="str">
        <f t="shared" si="20"/>
        <v/>
      </c>
      <c r="D260" s="17" t="str">
        <f t="shared" si="21"/>
        <v/>
      </c>
      <c r="E260" s="17" t="str">
        <f t="shared" si="22"/>
        <v/>
      </c>
      <c r="F260" s="17" t="str">
        <f t="shared" si="23"/>
        <v/>
      </c>
    </row>
    <row r="261" spans="1:6" x14ac:dyDescent="0.2">
      <c r="A261" s="38" t="str">
        <f t="shared" si="18"/>
        <v/>
      </c>
      <c r="B261" s="39" t="str">
        <f t="shared" si="19"/>
        <v/>
      </c>
      <c r="C261" s="40" t="str">
        <f t="shared" si="20"/>
        <v/>
      </c>
      <c r="D261" s="40" t="str">
        <f t="shared" si="21"/>
        <v/>
      </c>
      <c r="E261" s="40" t="str">
        <f t="shared" si="22"/>
        <v/>
      </c>
      <c r="F261" s="40" t="str">
        <f t="shared" si="23"/>
        <v/>
      </c>
    </row>
    <row r="262" spans="1:6" x14ac:dyDescent="0.2">
      <c r="A262" s="15" t="str">
        <f t="shared" si="18"/>
        <v/>
      </c>
      <c r="B262" s="16" t="str">
        <f t="shared" si="19"/>
        <v/>
      </c>
      <c r="C262" s="17" t="str">
        <f t="shared" si="20"/>
        <v/>
      </c>
      <c r="D262" s="17" t="str">
        <f t="shared" si="21"/>
        <v/>
      </c>
      <c r="E262" s="17" t="str">
        <f t="shared" si="22"/>
        <v/>
      </c>
      <c r="F262" s="17" t="str">
        <f t="shared" si="23"/>
        <v/>
      </c>
    </row>
    <row r="263" spans="1:6" x14ac:dyDescent="0.2">
      <c r="A263" s="38" t="str">
        <f t="shared" si="18"/>
        <v/>
      </c>
      <c r="B263" s="39" t="str">
        <f t="shared" si="19"/>
        <v/>
      </c>
      <c r="C263" s="40" t="str">
        <f t="shared" si="20"/>
        <v/>
      </c>
      <c r="D263" s="40" t="str">
        <f t="shared" si="21"/>
        <v/>
      </c>
      <c r="E263" s="40" t="str">
        <f t="shared" si="22"/>
        <v/>
      </c>
      <c r="F263" s="40" t="str">
        <f t="shared" si="23"/>
        <v/>
      </c>
    </row>
    <row r="264" spans="1:6" x14ac:dyDescent="0.2">
      <c r="A264" s="15" t="str">
        <f t="shared" si="18"/>
        <v/>
      </c>
      <c r="B264" s="16" t="str">
        <f t="shared" si="19"/>
        <v/>
      </c>
      <c r="C264" s="17" t="str">
        <f t="shared" si="20"/>
        <v/>
      </c>
      <c r="D264" s="17" t="str">
        <f t="shared" si="21"/>
        <v/>
      </c>
      <c r="E264" s="17" t="str">
        <f t="shared" si="22"/>
        <v/>
      </c>
      <c r="F264" s="17" t="str">
        <f t="shared" si="23"/>
        <v/>
      </c>
    </row>
    <row r="265" spans="1:6" x14ac:dyDescent="0.2">
      <c r="A265" s="38" t="str">
        <f t="shared" si="18"/>
        <v/>
      </c>
      <c r="B265" s="39" t="str">
        <f t="shared" si="19"/>
        <v/>
      </c>
      <c r="C265" s="40" t="str">
        <f t="shared" si="20"/>
        <v/>
      </c>
      <c r="D265" s="40" t="str">
        <f t="shared" si="21"/>
        <v/>
      </c>
      <c r="E265" s="40" t="str">
        <f t="shared" si="22"/>
        <v/>
      </c>
      <c r="F265" s="40" t="str">
        <f t="shared" si="23"/>
        <v/>
      </c>
    </row>
    <row r="266" spans="1:6" x14ac:dyDescent="0.2">
      <c r="A266" s="15" t="str">
        <f t="shared" si="18"/>
        <v/>
      </c>
      <c r="B266" s="16" t="str">
        <f t="shared" si="19"/>
        <v/>
      </c>
      <c r="C266" s="17" t="str">
        <f t="shared" si="20"/>
        <v/>
      </c>
      <c r="D266" s="17" t="str">
        <f t="shared" si="21"/>
        <v/>
      </c>
      <c r="E266" s="17" t="str">
        <f t="shared" si="22"/>
        <v/>
      </c>
      <c r="F266" s="17" t="str">
        <f t="shared" si="23"/>
        <v/>
      </c>
    </row>
    <row r="267" spans="1:6" x14ac:dyDescent="0.2">
      <c r="A267" s="38" t="str">
        <f t="shared" si="18"/>
        <v/>
      </c>
      <c r="B267" s="39" t="str">
        <f t="shared" si="19"/>
        <v/>
      </c>
      <c r="C267" s="40" t="str">
        <f t="shared" si="20"/>
        <v/>
      </c>
      <c r="D267" s="40" t="str">
        <f t="shared" si="21"/>
        <v/>
      </c>
      <c r="E267" s="40" t="str">
        <f t="shared" si="22"/>
        <v/>
      </c>
      <c r="F267" s="40" t="str">
        <f t="shared" si="23"/>
        <v/>
      </c>
    </row>
    <row r="268" spans="1:6" x14ac:dyDescent="0.2">
      <c r="A268" s="15" t="str">
        <f t="shared" si="18"/>
        <v/>
      </c>
      <c r="B268" s="16" t="str">
        <f t="shared" si="19"/>
        <v/>
      </c>
      <c r="C268" s="17" t="str">
        <f t="shared" si="20"/>
        <v/>
      </c>
      <c r="D268" s="17" t="str">
        <f t="shared" si="21"/>
        <v/>
      </c>
      <c r="E268" s="17" t="str">
        <f t="shared" si="22"/>
        <v/>
      </c>
      <c r="F268" s="17" t="str">
        <f t="shared" si="23"/>
        <v/>
      </c>
    </row>
    <row r="269" spans="1:6" x14ac:dyDescent="0.2">
      <c r="A269" s="38" t="str">
        <f t="shared" si="18"/>
        <v/>
      </c>
      <c r="B269" s="39" t="str">
        <f t="shared" si="19"/>
        <v/>
      </c>
      <c r="C269" s="40" t="str">
        <f t="shared" si="20"/>
        <v/>
      </c>
      <c r="D269" s="40" t="str">
        <f t="shared" si="21"/>
        <v/>
      </c>
      <c r="E269" s="40" t="str">
        <f t="shared" si="22"/>
        <v/>
      </c>
      <c r="F269" s="40" t="str">
        <f t="shared" si="23"/>
        <v/>
      </c>
    </row>
    <row r="270" spans="1:6" x14ac:dyDescent="0.2">
      <c r="A270" s="15" t="str">
        <f t="shared" si="18"/>
        <v/>
      </c>
      <c r="B270" s="16" t="str">
        <f t="shared" si="19"/>
        <v/>
      </c>
      <c r="C270" s="17" t="str">
        <f t="shared" si="20"/>
        <v/>
      </c>
      <c r="D270" s="17" t="str">
        <f t="shared" si="21"/>
        <v/>
      </c>
      <c r="E270" s="17" t="str">
        <f t="shared" si="22"/>
        <v/>
      </c>
      <c r="F270" s="17" t="str">
        <f t="shared" si="23"/>
        <v/>
      </c>
    </row>
    <row r="271" spans="1:6" x14ac:dyDescent="0.2">
      <c r="A271" s="38" t="str">
        <f t="shared" ref="A271:A334" si="24">IF(A270&lt;$B$5*12,A270+1,"")</f>
        <v/>
      </c>
      <c r="B271" s="39" t="str">
        <f t="shared" ref="B271:B334" si="25">IF(A271="","",A271/12)</f>
        <v/>
      </c>
      <c r="C271" s="40" t="str">
        <f t="shared" ref="C271:C334" si="26">IF(A271="","",F270)</f>
        <v/>
      </c>
      <c r="D271" s="40" t="str">
        <f t="shared" ref="D271:D334" si="27">IF(A271="","",C271*$B$7/12)</f>
        <v/>
      </c>
      <c r="E271" s="40" t="str">
        <f t="shared" ref="E271:E334" si="28">IF(A271="","",MIN($B$6,C271+D271))</f>
        <v/>
      </c>
      <c r="F271" s="40" t="str">
        <f t="shared" ref="F271:F334" si="29">IF(A271="","",MAX(0,C271+D271-E271))</f>
        <v/>
      </c>
    </row>
    <row r="272" spans="1:6" x14ac:dyDescent="0.2">
      <c r="A272" s="15" t="str">
        <f t="shared" si="24"/>
        <v/>
      </c>
      <c r="B272" s="16" t="str">
        <f t="shared" si="25"/>
        <v/>
      </c>
      <c r="C272" s="17" t="str">
        <f t="shared" si="26"/>
        <v/>
      </c>
      <c r="D272" s="17" t="str">
        <f t="shared" si="27"/>
        <v/>
      </c>
      <c r="E272" s="17" t="str">
        <f t="shared" si="28"/>
        <v/>
      </c>
      <c r="F272" s="17" t="str">
        <f t="shared" si="29"/>
        <v/>
      </c>
    </row>
    <row r="273" spans="1:6" x14ac:dyDescent="0.2">
      <c r="A273" s="38" t="str">
        <f t="shared" si="24"/>
        <v/>
      </c>
      <c r="B273" s="39" t="str">
        <f t="shared" si="25"/>
        <v/>
      </c>
      <c r="C273" s="40" t="str">
        <f t="shared" si="26"/>
        <v/>
      </c>
      <c r="D273" s="40" t="str">
        <f t="shared" si="27"/>
        <v/>
      </c>
      <c r="E273" s="40" t="str">
        <f t="shared" si="28"/>
        <v/>
      </c>
      <c r="F273" s="40" t="str">
        <f t="shared" si="29"/>
        <v/>
      </c>
    </row>
    <row r="274" spans="1:6" x14ac:dyDescent="0.2">
      <c r="A274" s="15" t="str">
        <f t="shared" si="24"/>
        <v/>
      </c>
      <c r="B274" s="16" t="str">
        <f t="shared" si="25"/>
        <v/>
      </c>
      <c r="C274" s="17" t="str">
        <f t="shared" si="26"/>
        <v/>
      </c>
      <c r="D274" s="17" t="str">
        <f t="shared" si="27"/>
        <v/>
      </c>
      <c r="E274" s="17" t="str">
        <f t="shared" si="28"/>
        <v/>
      </c>
      <c r="F274" s="17" t="str">
        <f t="shared" si="29"/>
        <v/>
      </c>
    </row>
    <row r="275" spans="1:6" x14ac:dyDescent="0.2">
      <c r="A275" s="38" t="str">
        <f t="shared" si="24"/>
        <v/>
      </c>
      <c r="B275" s="39" t="str">
        <f t="shared" si="25"/>
        <v/>
      </c>
      <c r="C275" s="40" t="str">
        <f t="shared" si="26"/>
        <v/>
      </c>
      <c r="D275" s="40" t="str">
        <f t="shared" si="27"/>
        <v/>
      </c>
      <c r="E275" s="40" t="str">
        <f t="shared" si="28"/>
        <v/>
      </c>
      <c r="F275" s="40" t="str">
        <f t="shared" si="29"/>
        <v/>
      </c>
    </row>
    <row r="276" spans="1:6" x14ac:dyDescent="0.2">
      <c r="A276" s="15" t="str">
        <f t="shared" si="24"/>
        <v/>
      </c>
      <c r="B276" s="16" t="str">
        <f t="shared" si="25"/>
        <v/>
      </c>
      <c r="C276" s="17" t="str">
        <f t="shared" si="26"/>
        <v/>
      </c>
      <c r="D276" s="17" t="str">
        <f t="shared" si="27"/>
        <v/>
      </c>
      <c r="E276" s="17" t="str">
        <f t="shared" si="28"/>
        <v/>
      </c>
      <c r="F276" s="17" t="str">
        <f t="shared" si="29"/>
        <v/>
      </c>
    </row>
    <row r="277" spans="1:6" x14ac:dyDescent="0.2">
      <c r="A277" s="38" t="str">
        <f t="shared" si="24"/>
        <v/>
      </c>
      <c r="B277" s="39" t="str">
        <f t="shared" si="25"/>
        <v/>
      </c>
      <c r="C277" s="40" t="str">
        <f t="shared" si="26"/>
        <v/>
      </c>
      <c r="D277" s="40" t="str">
        <f t="shared" si="27"/>
        <v/>
      </c>
      <c r="E277" s="40" t="str">
        <f t="shared" si="28"/>
        <v/>
      </c>
      <c r="F277" s="40" t="str">
        <f t="shared" si="29"/>
        <v/>
      </c>
    </row>
    <row r="278" spans="1:6" x14ac:dyDescent="0.2">
      <c r="A278" s="15" t="str">
        <f t="shared" si="24"/>
        <v/>
      </c>
      <c r="B278" s="16" t="str">
        <f t="shared" si="25"/>
        <v/>
      </c>
      <c r="C278" s="17" t="str">
        <f t="shared" si="26"/>
        <v/>
      </c>
      <c r="D278" s="17" t="str">
        <f t="shared" si="27"/>
        <v/>
      </c>
      <c r="E278" s="17" t="str">
        <f t="shared" si="28"/>
        <v/>
      </c>
      <c r="F278" s="17" t="str">
        <f t="shared" si="29"/>
        <v/>
      </c>
    </row>
    <row r="279" spans="1:6" x14ac:dyDescent="0.2">
      <c r="A279" s="38" t="str">
        <f t="shared" si="24"/>
        <v/>
      </c>
      <c r="B279" s="39" t="str">
        <f t="shared" si="25"/>
        <v/>
      </c>
      <c r="C279" s="40" t="str">
        <f t="shared" si="26"/>
        <v/>
      </c>
      <c r="D279" s="40" t="str">
        <f t="shared" si="27"/>
        <v/>
      </c>
      <c r="E279" s="40" t="str">
        <f t="shared" si="28"/>
        <v/>
      </c>
      <c r="F279" s="40" t="str">
        <f t="shared" si="29"/>
        <v/>
      </c>
    </row>
    <row r="280" spans="1:6" x14ac:dyDescent="0.2">
      <c r="A280" s="15" t="str">
        <f t="shared" si="24"/>
        <v/>
      </c>
      <c r="B280" s="16" t="str">
        <f t="shared" si="25"/>
        <v/>
      </c>
      <c r="C280" s="17" t="str">
        <f t="shared" si="26"/>
        <v/>
      </c>
      <c r="D280" s="17" t="str">
        <f t="shared" si="27"/>
        <v/>
      </c>
      <c r="E280" s="17" t="str">
        <f t="shared" si="28"/>
        <v/>
      </c>
      <c r="F280" s="17" t="str">
        <f t="shared" si="29"/>
        <v/>
      </c>
    </row>
    <row r="281" spans="1:6" x14ac:dyDescent="0.2">
      <c r="A281" s="38" t="str">
        <f t="shared" si="24"/>
        <v/>
      </c>
      <c r="B281" s="39" t="str">
        <f t="shared" si="25"/>
        <v/>
      </c>
      <c r="C281" s="40" t="str">
        <f t="shared" si="26"/>
        <v/>
      </c>
      <c r="D281" s="40" t="str">
        <f t="shared" si="27"/>
        <v/>
      </c>
      <c r="E281" s="40" t="str">
        <f t="shared" si="28"/>
        <v/>
      </c>
      <c r="F281" s="40" t="str">
        <f t="shared" si="29"/>
        <v/>
      </c>
    </row>
    <row r="282" spans="1:6" x14ac:dyDescent="0.2">
      <c r="A282" s="15" t="str">
        <f t="shared" si="24"/>
        <v/>
      </c>
      <c r="B282" s="16" t="str">
        <f t="shared" si="25"/>
        <v/>
      </c>
      <c r="C282" s="17" t="str">
        <f t="shared" si="26"/>
        <v/>
      </c>
      <c r="D282" s="17" t="str">
        <f t="shared" si="27"/>
        <v/>
      </c>
      <c r="E282" s="17" t="str">
        <f t="shared" si="28"/>
        <v/>
      </c>
      <c r="F282" s="17" t="str">
        <f t="shared" si="29"/>
        <v/>
      </c>
    </row>
    <row r="283" spans="1:6" x14ac:dyDescent="0.2">
      <c r="A283" s="38" t="str">
        <f t="shared" si="24"/>
        <v/>
      </c>
      <c r="B283" s="39" t="str">
        <f t="shared" si="25"/>
        <v/>
      </c>
      <c r="C283" s="40" t="str">
        <f t="shared" si="26"/>
        <v/>
      </c>
      <c r="D283" s="40" t="str">
        <f t="shared" si="27"/>
        <v/>
      </c>
      <c r="E283" s="40" t="str">
        <f t="shared" si="28"/>
        <v/>
      </c>
      <c r="F283" s="40" t="str">
        <f t="shared" si="29"/>
        <v/>
      </c>
    </row>
    <row r="284" spans="1:6" x14ac:dyDescent="0.2">
      <c r="A284" s="15" t="str">
        <f t="shared" si="24"/>
        <v/>
      </c>
      <c r="B284" s="16" t="str">
        <f t="shared" si="25"/>
        <v/>
      </c>
      <c r="C284" s="17" t="str">
        <f t="shared" si="26"/>
        <v/>
      </c>
      <c r="D284" s="17" t="str">
        <f t="shared" si="27"/>
        <v/>
      </c>
      <c r="E284" s="17" t="str">
        <f t="shared" si="28"/>
        <v/>
      </c>
      <c r="F284" s="17" t="str">
        <f t="shared" si="29"/>
        <v/>
      </c>
    </row>
    <row r="285" spans="1:6" x14ac:dyDescent="0.2">
      <c r="A285" s="38" t="str">
        <f t="shared" si="24"/>
        <v/>
      </c>
      <c r="B285" s="39" t="str">
        <f t="shared" si="25"/>
        <v/>
      </c>
      <c r="C285" s="40" t="str">
        <f t="shared" si="26"/>
        <v/>
      </c>
      <c r="D285" s="40" t="str">
        <f t="shared" si="27"/>
        <v/>
      </c>
      <c r="E285" s="40" t="str">
        <f t="shared" si="28"/>
        <v/>
      </c>
      <c r="F285" s="40" t="str">
        <f t="shared" si="29"/>
        <v/>
      </c>
    </row>
    <row r="286" spans="1:6" x14ac:dyDescent="0.2">
      <c r="A286" s="15" t="str">
        <f t="shared" si="24"/>
        <v/>
      </c>
      <c r="B286" s="16" t="str">
        <f t="shared" si="25"/>
        <v/>
      </c>
      <c r="C286" s="17" t="str">
        <f t="shared" si="26"/>
        <v/>
      </c>
      <c r="D286" s="17" t="str">
        <f t="shared" si="27"/>
        <v/>
      </c>
      <c r="E286" s="17" t="str">
        <f t="shared" si="28"/>
        <v/>
      </c>
      <c r="F286" s="17" t="str">
        <f t="shared" si="29"/>
        <v/>
      </c>
    </row>
    <row r="287" spans="1:6" x14ac:dyDescent="0.2">
      <c r="A287" s="38" t="str">
        <f t="shared" si="24"/>
        <v/>
      </c>
      <c r="B287" s="39" t="str">
        <f t="shared" si="25"/>
        <v/>
      </c>
      <c r="C287" s="40" t="str">
        <f t="shared" si="26"/>
        <v/>
      </c>
      <c r="D287" s="40" t="str">
        <f t="shared" si="27"/>
        <v/>
      </c>
      <c r="E287" s="40" t="str">
        <f t="shared" si="28"/>
        <v/>
      </c>
      <c r="F287" s="40" t="str">
        <f t="shared" si="29"/>
        <v/>
      </c>
    </row>
    <row r="288" spans="1:6" x14ac:dyDescent="0.2">
      <c r="A288" s="15" t="str">
        <f t="shared" si="24"/>
        <v/>
      </c>
      <c r="B288" s="16" t="str">
        <f t="shared" si="25"/>
        <v/>
      </c>
      <c r="C288" s="17" t="str">
        <f t="shared" si="26"/>
        <v/>
      </c>
      <c r="D288" s="17" t="str">
        <f t="shared" si="27"/>
        <v/>
      </c>
      <c r="E288" s="17" t="str">
        <f t="shared" si="28"/>
        <v/>
      </c>
      <c r="F288" s="17" t="str">
        <f t="shared" si="29"/>
        <v/>
      </c>
    </row>
    <row r="289" spans="1:6" x14ac:dyDescent="0.2">
      <c r="A289" s="38" t="str">
        <f t="shared" si="24"/>
        <v/>
      </c>
      <c r="B289" s="39" t="str">
        <f t="shared" si="25"/>
        <v/>
      </c>
      <c r="C289" s="40" t="str">
        <f t="shared" si="26"/>
        <v/>
      </c>
      <c r="D289" s="40" t="str">
        <f t="shared" si="27"/>
        <v/>
      </c>
      <c r="E289" s="40" t="str">
        <f t="shared" si="28"/>
        <v/>
      </c>
      <c r="F289" s="40" t="str">
        <f t="shared" si="29"/>
        <v/>
      </c>
    </row>
    <row r="290" spans="1:6" x14ac:dyDescent="0.2">
      <c r="A290" s="15" t="str">
        <f t="shared" si="24"/>
        <v/>
      </c>
      <c r="B290" s="16" t="str">
        <f t="shared" si="25"/>
        <v/>
      </c>
      <c r="C290" s="17" t="str">
        <f t="shared" si="26"/>
        <v/>
      </c>
      <c r="D290" s="17" t="str">
        <f t="shared" si="27"/>
        <v/>
      </c>
      <c r="E290" s="17" t="str">
        <f t="shared" si="28"/>
        <v/>
      </c>
      <c r="F290" s="17" t="str">
        <f t="shared" si="29"/>
        <v/>
      </c>
    </row>
    <row r="291" spans="1:6" x14ac:dyDescent="0.2">
      <c r="A291" s="38" t="str">
        <f t="shared" si="24"/>
        <v/>
      </c>
      <c r="B291" s="39" t="str">
        <f t="shared" si="25"/>
        <v/>
      </c>
      <c r="C291" s="40" t="str">
        <f t="shared" si="26"/>
        <v/>
      </c>
      <c r="D291" s="40" t="str">
        <f t="shared" si="27"/>
        <v/>
      </c>
      <c r="E291" s="40" t="str">
        <f t="shared" si="28"/>
        <v/>
      </c>
      <c r="F291" s="40" t="str">
        <f t="shared" si="29"/>
        <v/>
      </c>
    </row>
    <row r="292" spans="1:6" x14ac:dyDescent="0.2">
      <c r="A292" s="15" t="str">
        <f t="shared" si="24"/>
        <v/>
      </c>
      <c r="B292" s="16" t="str">
        <f t="shared" si="25"/>
        <v/>
      </c>
      <c r="C292" s="17" t="str">
        <f t="shared" si="26"/>
        <v/>
      </c>
      <c r="D292" s="17" t="str">
        <f t="shared" si="27"/>
        <v/>
      </c>
      <c r="E292" s="17" t="str">
        <f t="shared" si="28"/>
        <v/>
      </c>
      <c r="F292" s="17" t="str">
        <f t="shared" si="29"/>
        <v/>
      </c>
    </row>
    <row r="293" spans="1:6" x14ac:dyDescent="0.2">
      <c r="A293" s="38" t="str">
        <f t="shared" si="24"/>
        <v/>
      </c>
      <c r="B293" s="39" t="str">
        <f t="shared" si="25"/>
        <v/>
      </c>
      <c r="C293" s="40" t="str">
        <f t="shared" si="26"/>
        <v/>
      </c>
      <c r="D293" s="40" t="str">
        <f t="shared" si="27"/>
        <v/>
      </c>
      <c r="E293" s="40" t="str">
        <f t="shared" si="28"/>
        <v/>
      </c>
      <c r="F293" s="40" t="str">
        <f t="shared" si="29"/>
        <v/>
      </c>
    </row>
    <row r="294" spans="1:6" x14ac:dyDescent="0.2">
      <c r="A294" s="15" t="str">
        <f t="shared" si="24"/>
        <v/>
      </c>
      <c r="B294" s="16" t="str">
        <f t="shared" si="25"/>
        <v/>
      </c>
      <c r="C294" s="17" t="str">
        <f t="shared" si="26"/>
        <v/>
      </c>
      <c r="D294" s="17" t="str">
        <f t="shared" si="27"/>
        <v/>
      </c>
      <c r="E294" s="17" t="str">
        <f t="shared" si="28"/>
        <v/>
      </c>
      <c r="F294" s="17" t="str">
        <f t="shared" si="29"/>
        <v/>
      </c>
    </row>
    <row r="295" spans="1:6" x14ac:dyDescent="0.2">
      <c r="A295" s="38" t="str">
        <f t="shared" si="24"/>
        <v/>
      </c>
      <c r="B295" s="39" t="str">
        <f t="shared" si="25"/>
        <v/>
      </c>
      <c r="C295" s="40" t="str">
        <f t="shared" si="26"/>
        <v/>
      </c>
      <c r="D295" s="40" t="str">
        <f t="shared" si="27"/>
        <v/>
      </c>
      <c r="E295" s="40" t="str">
        <f t="shared" si="28"/>
        <v/>
      </c>
      <c r="F295" s="40" t="str">
        <f t="shared" si="29"/>
        <v/>
      </c>
    </row>
    <row r="296" spans="1:6" x14ac:dyDescent="0.2">
      <c r="A296" s="15" t="str">
        <f t="shared" si="24"/>
        <v/>
      </c>
      <c r="B296" s="16" t="str">
        <f t="shared" si="25"/>
        <v/>
      </c>
      <c r="C296" s="17" t="str">
        <f t="shared" si="26"/>
        <v/>
      </c>
      <c r="D296" s="17" t="str">
        <f t="shared" si="27"/>
        <v/>
      </c>
      <c r="E296" s="17" t="str">
        <f t="shared" si="28"/>
        <v/>
      </c>
      <c r="F296" s="17" t="str">
        <f t="shared" si="29"/>
        <v/>
      </c>
    </row>
    <row r="297" spans="1:6" x14ac:dyDescent="0.2">
      <c r="A297" s="38" t="str">
        <f t="shared" si="24"/>
        <v/>
      </c>
      <c r="B297" s="39" t="str">
        <f t="shared" si="25"/>
        <v/>
      </c>
      <c r="C297" s="40" t="str">
        <f t="shared" si="26"/>
        <v/>
      </c>
      <c r="D297" s="40" t="str">
        <f t="shared" si="27"/>
        <v/>
      </c>
      <c r="E297" s="40" t="str">
        <f t="shared" si="28"/>
        <v/>
      </c>
      <c r="F297" s="40" t="str">
        <f t="shared" si="29"/>
        <v/>
      </c>
    </row>
    <row r="298" spans="1:6" x14ac:dyDescent="0.2">
      <c r="A298" s="15" t="str">
        <f t="shared" si="24"/>
        <v/>
      </c>
      <c r="B298" s="16" t="str">
        <f t="shared" si="25"/>
        <v/>
      </c>
      <c r="C298" s="17" t="str">
        <f t="shared" si="26"/>
        <v/>
      </c>
      <c r="D298" s="17" t="str">
        <f t="shared" si="27"/>
        <v/>
      </c>
      <c r="E298" s="17" t="str">
        <f t="shared" si="28"/>
        <v/>
      </c>
      <c r="F298" s="17" t="str">
        <f t="shared" si="29"/>
        <v/>
      </c>
    </row>
    <row r="299" spans="1:6" x14ac:dyDescent="0.2">
      <c r="A299" s="38" t="str">
        <f t="shared" si="24"/>
        <v/>
      </c>
      <c r="B299" s="39" t="str">
        <f t="shared" si="25"/>
        <v/>
      </c>
      <c r="C299" s="40" t="str">
        <f t="shared" si="26"/>
        <v/>
      </c>
      <c r="D299" s="40" t="str">
        <f t="shared" si="27"/>
        <v/>
      </c>
      <c r="E299" s="40" t="str">
        <f t="shared" si="28"/>
        <v/>
      </c>
      <c r="F299" s="40" t="str">
        <f t="shared" si="29"/>
        <v/>
      </c>
    </row>
    <row r="300" spans="1:6" x14ac:dyDescent="0.2">
      <c r="A300" s="15" t="str">
        <f t="shared" si="24"/>
        <v/>
      </c>
      <c r="B300" s="16" t="str">
        <f t="shared" si="25"/>
        <v/>
      </c>
      <c r="C300" s="17" t="str">
        <f t="shared" si="26"/>
        <v/>
      </c>
      <c r="D300" s="17" t="str">
        <f t="shared" si="27"/>
        <v/>
      </c>
      <c r="E300" s="17" t="str">
        <f t="shared" si="28"/>
        <v/>
      </c>
      <c r="F300" s="17" t="str">
        <f t="shared" si="29"/>
        <v/>
      </c>
    </row>
    <row r="301" spans="1:6" x14ac:dyDescent="0.2">
      <c r="A301" s="38" t="str">
        <f t="shared" si="24"/>
        <v/>
      </c>
      <c r="B301" s="39" t="str">
        <f t="shared" si="25"/>
        <v/>
      </c>
      <c r="C301" s="40" t="str">
        <f t="shared" si="26"/>
        <v/>
      </c>
      <c r="D301" s="40" t="str">
        <f t="shared" si="27"/>
        <v/>
      </c>
      <c r="E301" s="40" t="str">
        <f t="shared" si="28"/>
        <v/>
      </c>
      <c r="F301" s="40" t="str">
        <f t="shared" si="29"/>
        <v/>
      </c>
    </row>
    <row r="302" spans="1:6" x14ac:dyDescent="0.2">
      <c r="A302" s="15" t="str">
        <f t="shared" si="24"/>
        <v/>
      </c>
      <c r="B302" s="16" t="str">
        <f t="shared" si="25"/>
        <v/>
      </c>
      <c r="C302" s="17" t="str">
        <f t="shared" si="26"/>
        <v/>
      </c>
      <c r="D302" s="17" t="str">
        <f t="shared" si="27"/>
        <v/>
      </c>
      <c r="E302" s="17" t="str">
        <f t="shared" si="28"/>
        <v/>
      </c>
      <c r="F302" s="17" t="str">
        <f t="shared" si="29"/>
        <v/>
      </c>
    </row>
    <row r="303" spans="1:6" x14ac:dyDescent="0.2">
      <c r="A303" s="38" t="str">
        <f t="shared" si="24"/>
        <v/>
      </c>
      <c r="B303" s="39" t="str">
        <f t="shared" si="25"/>
        <v/>
      </c>
      <c r="C303" s="40" t="str">
        <f t="shared" si="26"/>
        <v/>
      </c>
      <c r="D303" s="40" t="str">
        <f t="shared" si="27"/>
        <v/>
      </c>
      <c r="E303" s="40" t="str">
        <f t="shared" si="28"/>
        <v/>
      </c>
      <c r="F303" s="40" t="str">
        <f t="shared" si="29"/>
        <v/>
      </c>
    </row>
    <row r="304" spans="1:6" x14ac:dyDescent="0.2">
      <c r="A304" s="15" t="str">
        <f t="shared" si="24"/>
        <v/>
      </c>
      <c r="B304" s="16" t="str">
        <f t="shared" si="25"/>
        <v/>
      </c>
      <c r="C304" s="17" t="str">
        <f t="shared" si="26"/>
        <v/>
      </c>
      <c r="D304" s="17" t="str">
        <f t="shared" si="27"/>
        <v/>
      </c>
      <c r="E304" s="17" t="str">
        <f t="shared" si="28"/>
        <v/>
      </c>
      <c r="F304" s="17" t="str">
        <f t="shared" si="29"/>
        <v/>
      </c>
    </row>
    <row r="305" spans="1:6" x14ac:dyDescent="0.2">
      <c r="A305" s="38" t="str">
        <f t="shared" si="24"/>
        <v/>
      </c>
      <c r="B305" s="39" t="str">
        <f t="shared" si="25"/>
        <v/>
      </c>
      <c r="C305" s="40" t="str">
        <f t="shared" si="26"/>
        <v/>
      </c>
      <c r="D305" s="40" t="str">
        <f t="shared" si="27"/>
        <v/>
      </c>
      <c r="E305" s="40" t="str">
        <f t="shared" si="28"/>
        <v/>
      </c>
      <c r="F305" s="40" t="str">
        <f t="shared" si="29"/>
        <v/>
      </c>
    </row>
    <row r="306" spans="1:6" x14ac:dyDescent="0.2">
      <c r="A306" s="15" t="str">
        <f t="shared" si="24"/>
        <v/>
      </c>
      <c r="B306" s="16" t="str">
        <f t="shared" si="25"/>
        <v/>
      </c>
      <c r="C306" s="17" t="str">
        <f t="shared" si="26"/>
        <v/>
      </c>
      <c r="D306" s="17" t="str">
        <f t="shared" si="27"/>
        <v/>
      </c>
      <c r="E306" s="17" t="str">
        <f t="shared" si="28"/>
        <v/>
      </c>
      <c r="F306" s="17" t="str">
        <f t="shared" si="29"/>
        <v/>
      </c>
    </row>
    <row r="307" spans="1:6" x14ac:dyDescent="0.2">
      <c r="A307" s="38" t="str">
        <f t="shared" si="24"/>
        <v/>
      </c>
      <c r="B307" s="39" t="str">
        <f t="shared" si="25"/>
        <v/>
      </c>
      <c r="C307" s="40" t="str">
        <f t="shared" si="26"/>
        <v/>
      </c>
      <c r="D307" s="40" t="str">
        <f t="shared" si="27"/>
        <v/>
      </c>
      <c r="E307" s="40" t="str">
        <f t="shared" si="28"/>
        <v/>
      </c>
      <c r="F307" s="40" t="str">
        <f t="shared" si="29"/>
        <v/>
      </c>
    </row>
    <row r="308" spans="1:6" x14ac:dyDescent="0.2">
      <c r="A308" s="15" t="str">
        <f t="shared" si="24"/>
        <v/>
      </c>
      <c r="B308" s="16" t="str">
        <f t="shared" si="25"/>
        <v/>
      </c>
      <c r="C308" s="17" t="str">
        <f t="shared" si="26"/>
        <v/>
      </c>
      <c r="D308" s="17" t="str">
        <f t="shared" si="27"/>
        <v/>
      </c>
      <c r="E308" s="17" t="str">
        <f t="shared" si="28"/>
        <v/>
      </c>
      <c r="F308" s="17" t="str">
        <f t="shared" si="29"/>
        <v/>
      </c>
    </row>
    <row r="309" spans="1:6" x14ac:dyDescent="0.2">
      <c r="A309" s="38" t="str">
        <f t="shared" si="24"/>
        <v/>
      </c>
      <c r="B309" s="39" t="str">
        <f t="shared" si="25"/>
        <v/>
      </c>
      <c r="C309" s="40" t="str">
        <f t="shared" si="26"/>
        <v/>
      </c>
      <c r="D309" s="40" t="str">
        <f t="shared" si="27"/>
        <v/>
      </c>
      <c r="E309" s="40" t="str">
        <f t="shared" si="28"/>
        <v/>
      </c>
      <c r="F309" s="40" t="str">
        <f t="shared" si="29"/>
        <v/>
      </c>
    </row>
    <row r="310" spans="1:6" x14ac:dyDescent="0.2">
      <c r="A310" s="15" t="str">
        <f t="shared" si="24"/>
        <v/>
      </c>
      <c r="B310" s="16" t="str">
        <f t="shared" si="25"/>
        <v/>
      </c>
      <c r="C310" s="17" t="str">
        <f t="shared" si="26"/>
        <v/>
      </c>
      <c r="D310" s="17" t="str">
        <f t="shared" si="27"/>
        <v/>
      </c>
      <c r="E310" s="17" t="str">
        <f t="shared" si="28"/>
        <v/>
      </c>
      <c r="F310" s="17" t="str">
        <f t="shared" si="29"/>
        <v/>
      </c>
    </row>
    <row r="311" spans="1:6" x14ac:dyDescent="0.2">
      <c r="A311" s="38" t="str">
        <f t="shared" si="24"/>
        <v/>
      </c>
      <c r="B311" s="39" t="str">
        <f t="shared" si="25"/>
        <v/>
      </c>
      <c r="C311" s="40" t="str">
        <f t="shared" si="26"/>
        <v/>
      </c>
      <c r="D311" s="40" t="str">
        <f t="shared" si="27"/>
        <v/>
      </c>
      <c r="E311" s="40" t="str">
        <f t="shared" si="28"/>
        <v/>
      </c>
      <c r="F311" s="40" t="str">
        <f t="shared" si="29"/>
        <v/>
      </c>
    </row>
    <row r="312" spans="1:6" x14ac:dyDescent="0.2">
      <c r="A312" s="15" t="str">
        <f t="shared" si="24"/>
        <v/>
      </c>
      <c r="B312" s="16" t="str">
        <f t="shared" si="25"/>
        <v/>
      </c>
      <c r="C312" s="17" t="str">
        <f t="shared" si="26"/>
        <v/>
      </c>
      <c r="D312" s="17" t="str">
        <f t="shared" si="27"/>
        <v/>
      </c>
      <c r="E312" s="17" t="str">
        <f t="shared" si="28"/>
        <v/>
      </c>
      <c r="F312" s="17" t="str">
        <f t="shared" si="29"/>
        <v/>
      </c>
    </row>
    <row r="313" spans="1:6" x14ac:dyDescent="0.2">
      <c r="A313" s="38" t="str">
        <f t="shared" si="24"/>
        <v/>
      </c>
      <c r="B313" s="39" t="str">
        <f t="shared" si="25"/>
        <v/>
      </c>
      <c r="C313" s="40" t="str">
        <f t="shared" si="26"/>
        <v/>
      </c>
      <c r="D313" s="40" t="str">
        <f t="shared" si="27"/>
        <v/>
      </c>
      <c r="E313" s="40" t="str">
        <f t="shared" si="28"/>
        <v/>
      </c>
      <c r="F313" s="40" t="str">
        <f t="shared" si="29"/>
        <v/>
      </c>
    </row>
    <row r="314" spans="1:6" x14ac:dyDescent="0.2">
      <c r="A314" s="15" t="str">
        <f t="shared" si="24"/>
        <v/>
      </c>
      <c r="B314" s="16" t="str">
        <f t="shared" si="25"/>
        <v/>
      </c>
      <c r="C314" s="17" t="str">
        <f t="shared" si="26"/>
        <v/>
      </c>
      <c r="D314" s="17" t="str">
        <f t="shared" si="27"/>
        <v/>
      </c>
      <c r="E314" s="17" t="str">
        <f t="shared" si="28"/>
        <v/>
      </c>
      <c r="F314" s="17" t="str">
        <f t="shared" si="29"/>
        <v/>
      </c>
    </row>
    <row r="315" spans="1:6" x14ac:dyDescent="0.2">
      <c r="A315" s="38" t="str">
        <f t="shared" si="24"/>
        <v/>
      </c>
      <c r="B315" s="39" t="str">
        <f t="shared" si="25"/>
        <v/>
      </c>
      <c r="C315" s="40" t="str">
        <f t="shared" si="26"/>
        <v/>
      </c>
      <c r="D315" s="40" t="str">
        <f t="shared" si="27"/>
        <v/>
      </c>
      <c r="E315" s="40" t="str">
        <f t="shared" si="28"/>
        <v/>
      </c>
      <c r="F315" s="40" t="str">
        <f t="shared" si="29"/>
        <v/>
      </c>
    </row>
    <row r="316" spans="1:6" x14ac:dyDescent="0.2">
      <c r="A316" s="15" t="str">
        <f t="shared" si="24"/>
        <v/>
      </c>
      <c r="B316" s="16" t="str">
        <f t="shared" si="25"/>
        <v/>
      </c>
      <c r="C316" s="17" t="str">
        <f t="shared" si="26"/>
        <v/>
      </c>
      <c r="D316" s="17" t="str">
        <f t="shared" si="27"/>
        <v/>
      </c>
      <c r="E316" s="17" t="str">
        <f t="shared" si="28"/>
        <v/>
      </c>
      <c r="F316" s="17" t="str">
        <f t="shared" si="29"/>
        <v/>
      </c>
    </row>
    <row r="317" spans="1:6" x14ac:dyDescent="0.2">
      <c r="A317" s="38" t="str">
        <f t="shared" si="24"/>
        <v/>
      </c>
      <c r="B317" s="39" t="str">
        <f t="shared" si="25"/>
        <v/>
      </c>
      <c r="C317" s="40" t="str">
        <f t="shared" si="26"/>
        <v/>
      </c>
      <c r="D317" s="40" t="str">
        <f t="shared" si="27"/>
        <v/>
      </c>
      <c r="E317" s="40" t="str">
        <f t="shared" si="28"/>
        <v/>
      </c>
      <c r="F317" s="40" t="str">
        <f t="shared" si="29"/>
        <v/>
      </c>
    </row>
    <row r="318" spans="1:6" x14ac:dyDescent="0.2">
      <c r="A318" s="15" t="str">
        <f t="shared" si="24"/>
        <v/>
      </c>
      <c r="B318" s="16" t="str">
        <f t="shared" si="25"/>
        <v/>
      </c>
      <c r="C318" s="17" t="str">
        <f t="shared" si="26"/>
        <v/>
      </c>
      <c r="D318" s="17" t="str">
        <f t="shared" si="27"/>
        <v/>
      </c>
      <c r="E318" s="17" t="str">
        <f t="shared" si="28"/>
        <v/>
      </c>
      <c r="F318" s="17" t="str">
        <f t="shared" si="29"/>
        <v/>
      </c>
    </row>
    <row r="319" spans="1:6" x14ac:dyDescent="0.2">
      <c r="A319" s="38" t="str">
        <f t="shared" si="24"/>
        <v/>
      </c>
      <c r="B319" s="39" t="str">
        <f t="shared" si="25"/>
        <v/>
      </c>
      <c r="C319" s="40" t="str">
        <f t="shared" si="26"/>
        <v/>
      </c>
      <c r="D319" s="40" t="str">
        <f t="shared" si="27"/>
        <v/>
      </c>
      <c r="E319" s="40" t="str">
        <f t="shared" si="28"/>
        <v/>
      </c>
      <c r="F319" s="40" t="str">
        <f t="shared" si="29"/>
        <v/>
      </c>
    </row>
    <row r="320" spans="1:6" x14ac:dyDescent="0.2">
      <c r="A320" s="15" t="str">
        <f t="shared" si="24"/>
        <v/>
      </c>
      <c r="B320" s="16" t="str">
        <f t="shared" si="25"/>
        <v/>
      </c>
      <c r="C320" s="17" t="str">
        <f t="shared" si="26"/>
        <v/>
      </c>
      <c r="D320" s="17" t="str">
        <f t="shared" si="27"/>
        <v/>
      </c>
      <c r="E320" s="17" t="str">
        <f t="shared" si="28"/>
        <v/>
      </c>
      <c r="F320" s="17" t="str">
        <f t="shared" si="29"/>
        <v/>
      </c>
    </row>
    <row r="321" spans="1:6" x14ac:dyDescent="0.2">
      <c r="A321" s="38" t="str">
        <f t="shared" si="24"/>
        <v/>
      </c>
      <c r="B321" s="39" t="str">
        <f t="shared" si="25"/>
        <v/>
      </c>
      <c r="C321" s="40" t="str">
        <f t="shared" si="26"/>
        <v/>
      </c>
      <c r="D321" s="40" t="str">
        <f t="shared" si="27"/>
        <v/>
      </c>
      <c r="E321" s="40" t="str">
        <f t="shared" si="28"/>
        <v/>
      </c>
      <c r="F321" s="40" t="str">
        <f t="shared" si="29"/>
        <v/>
      </c>
    </row>
    <row r="322" spans="1:6" x14ac:dyDescent="0.2">
      <c r="A322" s="15" t="str">
        <f t="shared" si="24"/>
        <v/>
      </c>
      <c r="B322" s="16" t="str">
        <f t="shared" si="25"/>
        <v/>
      </c>
      <c r="C322" s="17" t="str">
        <f t="shared" si="26"/>
        <v/>
      </c>
      <c r="D322" s="17" t="str">
        <f t="shared" si="27"/>
        <v/>
      </c>
      <c r="E322" s="17" t="str">
        <f t="shared" si="28"/>
        <v/>
      </c>
      <c r="F322" s="17" t="str">
        <f t="shared" si="29"/>
        <v/>
      </c>
    </row>
    <row r="323" spans="1:6" x14ac:dyDescent="0.2">
      <c r="A323" s="38" t="str">
        <f t="shared" si="24"/>
        <v/>
      </c>
      <c r="B323" s="39" t="str">
        <f t="shared" si="25"/>
        <v/>
      </c>
      <c r="C323" s="40" t="str">
        <f t="shared" si="26"/>
        <v/>
      </c>
      <c r="D323" s="40" t="str">
        <f t="shared" si="27"/>
        <v/>
      </c>
      <c r="E323" s="40" t="str">
        <f t="shared" si="28"/>
        <v/>
      </c>
      <c r="F323" s="40" t="str">
        <f t="shared" si="29"/>
        <v/>
      </c>
    </row>
    <row r="324" spans="1:6" x14ac:dyDescent="0.2">
      <c r="A324" s="15" t="str">
        <f t="shared" si="24"/>
        <v/>
      </c>
      <c r="B324" s="16" t="str">
        <f t="shared" si="25"/>
        <v/>
      </c>
      <c r="C324" s="17" t="str">
        <f t="shared" si="26"/>
        <v/>
      </c>
      <c r="D324" s="17" t="str">
        <f t="shared" si="27"/>
        <v/>
      </c>
      <c r="E324" s="17" t="str">
        <f t="shared" si="28"/>
        <v/>
      </c>
      <c r="F324" s="17" t="str">
        <f t="shared" si="29"/>
        <v/>
      </c>
    </row>
    <row r="325" spans="1:6" x14ac:dyDescent="0.2">
      <c r="A325" s="38" t="str">
        <f t="shared" si="24"/>
        <v/>
      </c>
      <c r="B325" s="39" t="str">
        <f t="shared" si="25"/>
        <v/>
      </c>
      <c r="C325" s="40" t="str">
        <f t="shared" si="26"/>
        <v/>
      </c>
      <c r="D325" s="40" t="str">
        <f t="shared" si="27"/>
        <v/>
      </c>
      <c r="E325" s="40" t="str">
        <f t="shared" si="28"/>
        <v/>
      </c>
      <c r="F325" s="40" t="str">
        <f t="shared" si="29"/>
        <v/>
      </c>
    </row>
    <row r="326" spans="1:6" x14ac:dyDescent="0.2">
      <c r="A326" s="15" t="str">
        <f t="shared" si="24"/>
        <v/>
      </c>
      <c r="B326" s="16" t="str">
        <f t="shared" si="25"/>
        <v/>
      </c>
      <c r="C326" s="17" t="str">
        <f t="shared" si="26"/>
        <v/>
      </c>
      <c r="D326" s="17" t="str">
        <f t="shared" si="27"/>
        <v/>
      </c>
      <c r="E326" s="17" t="str">
        <f t="shared" si="28"/>
        <v/>
      </c>
      <c r="F326" s="17" t="str">
        <f t="shared" si="29"/>
        <v/>
      </c>
    </row>
    <row r="327" spans="1:6" x14ac:dyDescent="0.2">
      <c r="A327" s="38" t="str">
        <f t="shared" si="24"/>
        <v/>
      </c>
      <c r="B327" s="39" t="str">
        <f t="shared" si="25"/>
        <v/>
      </c>
      <c r="C327" s="40" t="str">
        <f t="shared" si="26"/>
        <v/>
      </c>
      <c r="D327" s="40" t="str">
        <f t="shared" si="27"/>
        <v/>
      </c>
      <c r="E327" s="40" t="str">
        <f t="shared" si="28"/>
        <v/>
      </c>
      <c r="F327" s="40" t="str">
        <f t="shared" si="29"/>
        <v/>
      </c>
    </row>
    <row r="328" spans="1:6" x14ac:dyDescent="0.2">
      <c r="A328" s="15" t="str">
        <f t="shared" si="24"/>
        <v/>
      </c>
      <c r="B328" s="16" t="str">
        <f t="shared" si="25"/>
        <v/>
      </c>
      <c r="C328" s="17" t="str">
        <f t="shared" si="26"/>
        <v/>
      </c>
      <c r="D328" s="17" t="str">
        <f t="shared" si="27"/>
        <v/>
      </c>
      <c r="E328" s="17" t="str">
        <f t="shared" si="28"/>
        <v/>
      </c>
      <c r="F328" s="17" t="str">
        <f t="shared" si="29"/>
        <v/>
      </c>
    </row>
    <row r="329" spans="1:6" x14ac:dyDescent="0.2">
      <c r="A329" s="38" t="str">
        <f t="shared" si="24"/>
        <v/>
      </c>
      <c r="B329" s="39" t="str">
        <f t="shared" si="25"/>
        <v/>
      </c>
      <c r="C329" s="40" t="str">
        <f t="shared" si="26"/>
        <v/>
      </c>
      <c r="D329" s="40" t="str">
        <f t="shared" si="27"/>
        <v/>
      </c>
      <c r="E329" s="40" t="str">
        <f t="shared" si="28"/>
        <v/>
      </c>
      <c r="F329" s="40" t="str">
        <f t="shared" si="29"/>
        <v/>
      </c>
    </row>
    <row r="330" spans="1:6" x14ac:dyDescent="0.2">
      <c r="A330" s="15" t="str">
        <f t="shared" si="24"/>
        <v/>
      </c>
      <c r="B330" s="16" t="str">
        <f t="shared" si="25"/>
        <v/>
      </c>
      <c r="C330" s="17" t="str">
        <f t="shared" si="26"/>
        <v/>
      </c>
      <c r="D330" s="17" t="str">
        <f t="shared" si="27"/>
        <v/>
      </c>
      <c r="E330" s="17" t="str">
        <f t="shared" si="28"/>
        <v/>
      </c>
      <c r="F330" s="17" t="str">
        <f t="shared" si="29"/>
        <v/>
      </c>
    </row>
    <row r="331" spans="1:6" x14ac:dyDescent="0.2">
      <c r="A331" s="38" t="str">
        <f t="shared" si="24"/>
        <v/>
      </c>
      <c r="B331" s="39" t="str">
        <f t="shared" si="25"/>
        <v/>
      </c>
      <c r="C331" s="40" t="str">
        <f t="shared" si="26"/>
        <v/>
      </c>
      <c r="D331" s="40" t="str">
        <f t="shared" si="27"/>
        <v/>
      </c>
      <c r="E331" s="40" t="str">
        <f t="shared" si="28"/>
        <v/>
      </c>
      <c r="F331" s="40" t="str">
        <f t="shared" si="29"/>
        <v/>
      </c>
    </row>
    <row r="332" spans="1:6" x14ac:dyDescent="0.2">
      <c r="A332" s="15" t="str">
        <f t="shared" si="24"/>
        <v/>
      </c>
      <c r="B332" s="16" t="str">
        <f t="shared" si="25"/>
        <v/>
      </c>
      <c r="C332" s="17" t="str">
        <f t="shared" si="26"/>
        <v/>
      </c>
      <c r="D332" s="17" t="str">
        <f t="shared" si="27"/>
        <v/>
      </c>
      <c r="E332" s="17" t="str">
        <f t="shared" si="28"/>
        <v/>
      </c>
      <c r="F332" s="17" t="str">
        <f t="shared" si="29"/>
        <v/>
      </c>
    </row>
    <row r="333" spans="1:6" x14ac:dyDescent="0.2">
      <c r="A333" s="38" t="str">
        <f t="shared" si="24"/>
        <v/>
      </c>
      <c r="B333" s="39" t="str">
        <f t="shared" si="25"/>
        <v/>
      </c>
      <c r="C333" s="40" t="str">
        <f t="shared" si="26"/>
        <v/>
      </c>
      <c r="D333" s="40" t="str">
        <f t="shared" si="27"/>
        <v/>
      </c>
      <c r="E333" s="40" t="str">
        <f t="shared" si="28"/>
        <v/>
      </c>
      <c r="F333" s="40" t="str">
        <f t="shared" si="29"/>
        <v/>
      </c>
    </row>
    <row r="334" spans="1:6" x14ac:dyDescent="0.2">
      <c r="A334" s="15" t="str">
        <f t="shared" si="24"/>
        <v/>
      </c>
      <c r="B334" s="16" t="str">
        <f t="shared" si="25"/>
        <v/>
      </c>
      <c r="C334" s="17" t="str">
        <f t="shared" si="26"/>
        <v/>
      </c>
      <c r="D334" s="17" t="str">
        <f t="shared" si="27"/>
        <v/>
      </c>
      <c r="E334" s="17" t="str">
        <f t="shared" si="28"/>
        <v/>
      </c>
      <c r="F334" s="17" t="str">
        <f t="shared" si="29"/>
        <v/>
      </c>
    </row>
    <row r="335" spans="1:6" x14ac:dyDescent="0.2">
      <c r="A335" s="38" t="str">
        <f t="shared" ref="A335:A398" si="30">IF(A334&lt;$B$5*12,A334+1,"")</f>
        <v/>
      </c>
      <c r="B335" s="39" t="str">
        <f t="shared" ref="B335:B398" si="31">IF(A335="","",A335/12)</f>
        <v/>
      </c>
      <c r="C335" s="40" t="str">
        <f t="shared" ref="C335:C398" si="32">IF(A335="","",F334)</f>
        <v/>
      </c>
      <c r="D335" s="40" t="str">
        <f t="shared" ref="D335:D398" si="33">IF(A335="","",C335*$B$7/12)</f>
        <v/>
      </c>
      <c r="E335" s="40" t="str">
        <f t="shared" ref="E335:E398" si="34">IF(A335="","",MIN($B$6,C335+D335))</f>
        <v/>
      </c>
      <c r="F335" s="40" t="str">
        <f t="shared" ref="F335:F398" si="35">IF(A335="","",MAX(0,C335+D335-E335))</f>
        <v/>
      </c>
    </row>
    <row r="336" spans="1:6" x14ac:dyDescent="0.2">
      <c r="A336" s="15" t="str">
        <f t="shared" si="30"/>
        <v/>
      </c>
      <c r="B336" s="16" t="str">
        <f t="shared" si="31"/>
        <v/>
      </c>
      <c r="C336" s="17" t="str">
        <f t="shared" si="32"/>
        <v/>
      </c>
      <c r="D336" s="17" t="str">
        <f t="shared" si="33"/>
        <v/>
      </c>
      <c r="E336" s="17" t="str">
        <f t="shared" si="34"/>
        <v/>
      </c>
      <c r="F336" s="17" t="str">
        <f t="shared" si="35"/>
        <v/>
      </c>
    </row>
    <row r="337" spans="1:6" x14ac:dyDescent="0.2">
      <c r="A337" s="38" t="str">
        <f t="shared" si="30"/>
        <v/>
      </c>
      <c r="B337" s="39" t="str">
        <f t="shared" si="31"/>
        <v/>
      </c>
      <c r="C337" s="40" t="str">
        <f t="shared" si="32"/>
        <v/>
      </c>
      <c r="D337" s="40" t="str">
        <f t="shared" si="33"/>
        <v/>
      </c>
      <c r="E337" s="40" t="str">
        <f t="shared" si="34"/>
        <v/>
      </c>
      <c r="F337" s="40" t="str">
        <f t="shared" si="35"/>
        <v/>
      </c>
    </row>
    <row r="338" spans="1:6" x14ac:dyDescent="0.2">
      <c r="A338" s="15" t="str">
        <f t="shared" si="30"/>
        <v/>
      </c>
      <c r="B338" s="16" t="str">
        <f t="shared" si="31"/>
        <v/>
      </c>
      <c r="C338" s="17" t="str">
        <f t="shared" si="32"/>
        <v/>
      </c>
      <c r="D338" s="17" t="str">
        <f t="shared" si="33"/>
        <v/>
      </c>
      <c r="E338" s="17" t="str">
        <f t="shared" si="34"/>
        <v/>
      </c>
      <c r="F338" s="17" t="str">
        <f t="shared" si="35"/>
        <v/>
      </c>
    </row>
    <row r="339" spans="1:6" x14ac:dyDescent="0.2">
      <c r="A339" s="38" t="str">
        <f t="shared" si="30"/>
        <v/>
      </c>
      <c r="B339" s="39" t="str">
        <f t="shared" si="31"/>
        <v/>
      </c>
      <c r="C339" s="40" t="str">
        <f t="shared" si="32"/>
        <v/>
      </c>
      <c r="D339" s="40" t="str">
        <f t="shared" si="33"/>
        <v/>
      </c>
      <c r="E339" s="40" t="str">
        <f t="shared" si="34"/>
        <v/>
      </c>
      <c r="F339" s="40" t="str">
        <f t="shared" si="35"/>
        <v/>
      </c>
    </row>
    <row r="340" spans="1:6" x14ac:dyDescent="0.2">
      <c r="A340" s="15" t="str">
        <f t="shared" si="30"/>
        <v/>
      </c>
      <c r="B340" s="16" t="str">
        <f t="shared" si="31"/>
        <v/>
      </c>
      <c r="C340" s="17" t="str">
        <f t="shared" si="32"/>
        <v/>
      </c>
      <c r="D340" s="17" t="str">
        <f t="shared" si="33"/>
        <v/>
      </c>
      <c r="E340" s="17" t="str">
        <f t="shared" si="34"/>
        <v/>
      </c>
      <c r="F340" s="17" t="str">
        <f t="shared" si="35"/>
        <v/>
      </c>
    </row>
    <row r="341" spans="1:6" x14ac:dyDescent="0.2">
      <c r="A341" s="38" t="str">
        <f t="shared" si="30"/>
        <v/>
      </c>
      <c r="B341" s="39" t="str">
        <f t="shared" si="31"/>
        <v/>
      </c>
      <c r="C341" s="40" t="str">
        <f t="shared" si="32"/>
        <v/>
      </c>
      <c r="D341" s="40" t="str">
        <f t="shared" si="33"/>
        <v/>
      </c>
      <c r="E341" s="40" t="str">
        <f t="shared" si="34"/>
        <v/>
      </c>
      <c r="F341" s="40" t="str">
        <f t="shared" si="35"/>
        <v/>
      </c>
    </row>
    <row r="342" spans="1:6" x14ac:dyDescent="0.2">
      <c r="A342" s="15" t="str">
        <f t="shared" si="30"/>
        <v/>
      </c>
      <c r="B342" s="16" t="str">
        <f t="shared" si="31"/>
        <v/>
      </c>
      <c r="C342" s="17" t="str">
        <f t="shared" si="32"/>
        <v/>
      </c>
      <c r="D342" s="17" t="str">
        <f t="shared" si="33"/>
        <v/>
      </c>
      <c r="E342" s="17" t="str">
        <f t="shared" si="34"/>
        <v/>
      </c>
      <c r="F342" s="17" t="str">
        <f t="shared" si="35"/>
        <v/>
      </c>
    </row>
    <row r="343" spans="1:6" x14ac:dyDescent="0.2">
      <c r="A343" s="38" t="str">
        <f t="shared" si="30"/>
        <v/>
      </c>
      <c r="B343" s="39" t="str">
        <f t="shared" si="31"/>
        <v/>
      </c>
      <c r="C343" s="40" t="str">
        <f t="shared" si="32"/>
        <v/>
      </c>
      <c r="D343" s="40" t="str">
        <f t="shared" si="33"/>
        <v/>
      </c>
      <c r="E343" s="40" t="str">
        <f t="shared" si="34"/>
        <v/>
      </c>
      <c r="F343" s="40" t="str">
        <f t="shared" si="35"/>
        <v/>
      </c>
    </row>
    <row r="344" spans="1:6" x14ac:dyDescent="0.2">
      <c r="A344" s="15" t="str">
        <f t="shared" si="30"/>
        <v/>
      </c>
      <c r="B344" s="16" t="str">
        <f t="shared" si="31"/>
        <v/>
      </c>
      <c r="C344" s="17" t="str">
        <f t="shared" si="32"/>
        <v/>
      </c>
      <c r="D344" s="17" t="str">
        <f t="shared" si="33"/>
        <v/>
      </c>
      <c r="E344" s="17" t="str">
        <f t="shared" si="34"/>
        <v/>
      </c>
      <c r="F344" s="17" t="str">
        <f t="shared" si="35"/>
        <v/>
      </c>
    </row>
    <row r="345" spans="1:6" x14ac:dyDescent="0.2">
      <c r="A345" s="38" t="str">
        <f t="shared" si="30"/>
        <v/>
      </c>
      <c r="B345" s="39" t="str">
        <f t="shared" si="31"/>
        <v/>
      </c>
      <c r="C345" s="40" t="str">
        <f t="shared" si="32"/>
        <v/>
      </c>
      <c r="D345" s="40" t="str">
        <f t="shared" si="33"/>
        <v/>
      </c>
      <c r="E345" s="40" t="str">
        <f t="shared" si="34"/>
        <v/>
      </c>
      <c r="F345" s="40" t="str">
        <f t="shared" si="35"/>
        <v/>
      </c>
    </row>
    <row r="346" spans="1:6" x14ac:dyDescent="0.2">
      <c r="A346" s="15" t="str">
        <f t="shared" si="30"/>
        <v/>
      </c>
      <c r="B346" s="16" t="str">
        <f t="shared" si="31"/>
        <v/>
      </c>
      <c r="C346" s="17" t="str">
        <f t="shared" si="32"/>
        <v/>
      </c>
      <c r="D346" s="17" t="str">
        <f t="shared" si="33"/>
        <v/>
      </c>
      <c r="E346" s="17" t="str">
        <f t="shared" si="34"/>
        <v/>
      </c>
      <c r="F346" s="17" t="str">
        <f t="shared" si="35"/>
        <v/>
      </c>
    </row>
    <row r="347" spans="1:6" x14ac:dyDescent="0.2">
      <c r="A347" s="38" t="str">
        <f t="shared" si="30"/>
        <v/>
      </c>
      <c r="B347" s="39" t="str">
        <f t="shared" si="31"/>
        <v/>
      </c>
      <c r="C347" s="40" t="str">
        <f t="shared" si="32"/>
        <v/>
      </c>
      <c r="D347" s="40" t="str">
        <f t="shared" si="33"/>
        <v/>
      </c>
      <c r="E347" s="40" t="str">
        <f t="shared" si="34"/>
        <v/>
      </c>
      <c r="F347" s="40" t="str">
        <f t="shared" si="35"/>
        <v/>
      </c>
    </row>
    <row r="348" spans="1:6" x14ac:dyDescent="0.2">
      <c r="A348" s="15" t="str">
        <f t="shared" si="30"/>
        <v/>
      </c>
      <c r="B348" s="16" t="str">
        <f t="shared" si="31"/>
        <v/>
      </c>
      <c r="C348" s="17" t="str">
        <f t="shared" si="32"/>
        <v/>
      </c>
      <c r="D348" s="17" t="str">
        <f t="shared" si="33"/>
        <v/>
      </c>
      <c r="E348" s="17" t="str">
        <f t="shared" si="34"/>
        <v/>
      </c>
      <c r="F348" s="17" t="str">
        <f t="shared" si="35"/>
        <v/>
      </c>
    </row>
    <row r="349" spans="1:6" x14ac:dyDescent="0.2">
      <c r="A349" s="38" t="str">
        <f t="shared" si="30"/>
        <v/>
      </c>
      <c r="B349" s="39" t="str">
        <f t="shared" si="31"/>
        <v/>
      </c>
      <c r="C349" s="40" t="str">
        <f t="shared" si="32"/>
        <v/>
      </c>
      <c r="D349" s="40" t="str">
        <f t="shared" si="33"/>
        <v/>
      </c>
      <c r="E349" s="40" t="str">
        <f t="shared" si="34"/>
        <v/>
      </c>
      <c r="F349" s="40" t="str">
        <f t="shared" si="35"/>
        <v/>
      </c>
    </row>
    <row r="350" spans="1:6" x14ac:dyDescent="0.2">
      <c r="A350" s="15" t="str">
        <f t="shared" si="30"/>
        <v/>
      </c>
      <c r="B350" s="16" t="str">
        <f t="shared" si="31"/>
        <v/>
      </c>
      <c r="C350" s="17" t="str">
        <f t="shared" si="32"/>
        <v/>
      </c>
      <c r="D350" s="17" t="str">
        <f t="shared" si="33"/>
        <v/>
      </c>
      <c r="E350" s="17" t="str">
        <f t="shared" si="34"/>
        <v/>
      </c>
      <c r="F350" s="17" t="str">
        <f t="shared" si="35"/>
        <v/>
      </c>
    </row>
    <row r="351" spans="1:6" x14ac:dyDescent="0.2">
      <c r="A351" s="38" t="str">
        <f t="shared" si="30"/>
        <v/>
      </c>
      <c r="B351" s="39" t="str">
        <f t="shared" si="31"/>
        <v/>
      </c>
      <c r="C351" s="40" t="str">
        <f t="shared" si="32"/>
        <v/>
      </c>
      <c r="D351" s="40" t="str">
        <f t="shared" si="33"/>
        <v/>
      </c>
      <c r="E351" s="40" t="str">
        <f t="shared" si="34"/>
        <v/>
      </c>
      <c r="F351" s="40" t="str">
        <f t="shared" si="35"/>
        <v/>
      </c>
    </row>
    <row r="352" spans="1:6" x14ac:dyDescent="0.2">
      <c r="A352" s="15" t="str">
        <f t="shared" si="30"/>
        <v/>
      </c>
      <c r="B352" s="16" t="str">
        <f t="shared" si="31"/>
        <v/>
      </c>
      <c r="C352" s="17" t="str">
        <f t="shared" si="32"/>
        <v/>
      </c>
      <c r="D352" s="17" t="str">
        <f t="shared" si="33"/>
        <v/>
      </c>
      <c r="E352" s="17" t="str">
        <f t="shared" si="34"/>
        <v/>
      </c>
      <c r="F352" s="17" t="str">
        <f t="shared" si="35"/>
        <v/>
      </c>
    </row>
    <row r="353" spans="1:6" x14ac:dyDescent="0.2">
      <c r="A353" s="38" t="str">
        <f t="shared" si="30"/>
        <v/>
      </c>
      <c r="B353" s="39" t="str">
        <f t="shared" si="31"/>
        <v/>
      </c>
      <c r="C353" s="40" t="str">
        <f t="shared" si="32"/>
        <v/>
      </c>
      <c r="D353" s="40" t="str">
        <f t="shared" si="33"/>
        <v/>
      </c>
      <c r="E353" s="40" t="str">
        <f t="shared" si="34"/>
        <v/>
      </c>
      <c r="F353" s="40" t="str">
        <f t="shared" si="35"/>
        <v/>
      </c>
    </row>
    <row r="354" spans="1:6" x14ac:dyDescent="0.2">
      <c r="A354" s="15" t="str">
        <f t="shared" si="30"/>
        <v/>
      </c>
      <c r="B354" s="16" t="str">
        <f t="shared" si="31"/>
        <v/>
      </c>
      <c r="C354" s="17" t="str">
        <f t="shared" si="32"/>
        <v/>
      </c>
      <c r="D354" s="17" t="str">
        <f t="shared" si="33"/>
        <v/>
      </c>
      <c r="E354" s="17" t="str">
        <f t="shared" si="34"/>
        <v/>
      </c>
      <c r="F354" s="17" t="str">
        <f t="shared" si="35"/>
        <v/>
      </c>
    </row>
    <row r="355" spans="1:6" x14ac:dyDescent="0.2">
      <c r="A355" s="38" t="str">
        <f t="shared" si="30"/>
        <v/>
      </c>
      <c r="B355" s="39" t="str">
        <f t="shared" si="31"/>
        <v/>
      </c>
      <c r="C355" s="40" t="str">
        <f t="shared" si="32"/>
        <v/>
      </c>
      <c r="D355" s="40" t="str">
        <f t="shared" si="33"/>
        <v/>
      </c>
      <c r="E355" s="40" t="str">
        <f t="shared" si="34"/>
        <v/>
      </c>
      <c r="F355" s="40" t="str">
        <f t="shared" si="35"/>
        <v/>
      </c>
    </row>
    <row r="356" spans="1:6" x14ac:dyDescent="0.2">
      <c r="A356" s="15" t="str">
        <f t="shared" si="30"/>
        <v/>
      </c>
      <c r="B356" s="16" t="str">
        <f t="shared" si="31"/>
        <v/>
      </c>
      <c r="C356" s="17" t="str">
        <f t="shared" si="32"/>
        <v/>
      </c>
      <c r="D356" s="17" t="str">
        <f t="shared" si="33"/>
        <v/>
      </c>
      <c r="E356" s="17" t="str">
        <f t="shared" si="34"/>
        <v/>
      </c>
      <c r="F356" s="17" t="str">
        <f t="shared" si="35"/>
        <v/>
      </c>
    </row>
    <row r="357" spans="1:6" x14ac:dyDescent="0.2">
      <c r="A357" s="38" t="str">
        <f t="shared" si="30"/>
        <v/>
      </c>
      <c r="B357" s="39" t="str">
        <f t="shared" si="31"/>
        <v/>
      </c>
      <c r="C357" s="40" t="str">
        <f t="shared" si="32"/>
        <v/>
      </c>
      <c r="D357" s="40" t="str">
        <f t="shared" si="33"/>
        <v/>
      </c>
      <c r="E357" s="40" t="str">
        <f t="shared" si="34"/>
        <v/>
      </c>
      <c r="F357" s="40" t="str">
        <f t="shared" si="35"/>
        <v/>
      </c>
    </row>
    <row r="358" spans="1:6" x14ac:dyDescent="0.2">
      <c r="A358" s="15" t="str">
        <f t="shared" si="30"/>
        <v/>
      </c>
      <c r="B358" s="16" t="str">
        <f t="shared" si="31"/>
        <v/>
      </c>
      <c r="C358" s="17" t="str">
        <f t="shared" si="32"/>
        <v/>
      </c>
      <c r="D358" s="17" t="str">
        <f t="shared" si="33"/>
        <v/>
      </c>
      <c r="E358" s="17" t="str">
        <f t="shared" si="34"/>
        <v/>
      </c>
      <c r="F358" s="17" t="str">
        <f t="shared" si="35"/>
        <v/>
      </c>
    </row>
    <row r="359" spans="1:6" x14ac:dyDescent="0.2">
      <c r="A359" s="38" t="str">
        <f t="shared" si="30"/>
        <v/>
      </c>
      <c r="B359" s="39" t="str">
        <f t="shared" si="31"/>
        <v/>
      </c>
      <c r="C359" s="40" t="str">
        <f t="shared" si="32"/>
        <v/>
      </c>
      <c r="D359" s="40" t="str">
        <f t="shared" si="33"/>
        <v/>
      </c>
      <c r="E359" s="40" t="str">
        <f t="shared" si="34"/>
        <v/>
      </c>
      <c r="F359" s="40" t="str">
        <f t="shared" si="35"/>
        <v/>
      </c>
    </row>
    <row r="360" spans="1:6" x14ac:dyDescent="0.2">
      <c r="A360" s="15" t="str">
        <f t="shared" si="30"/>
        <v/>
      </c>
      <c r="B360" s="16" t="str">
        <f t="shared" si="31"/>
        <v/>
      </c>
      <c r="C360" s="17" t="str">
        <f t="shared" si="32"/>
        <v/>
      </c>
      <c r="D360" s="17" t="str">
        <f t="shared" si="33"/>
        <v/>
      </c>
      <c r="E360" s="17" t="str">
        <f t="shared" si="34"/>
        <v/>
      </c>
      <c r="F360" s="17" t="str">
        <f t="shared" si="35"/>
        <v/>
      </c>
    </row>
    <row r="361" spans="1:6" x14ac:dyDescent="0.2">
      <c r="A361" s="38" t="str">
        <f t="shared" si="30"/>
        <v/>
      </c>
      <c r="B361" s="39" t="str">
        <f t="shared" si="31"/>
        <v/>
      </c>
      <c r="C361" s="40" t="str">
        <f t="shared" si="32"/>
        <v/>
      </c>
      <c r="D361" s="40" t="str">
        <f t="shared" si="33"/>
        <v/>
      </c>
      <c r="E361" s="40" t="str">
        <f t="shared" si="34"/>
        <v/>
      </c>
      <c r="F361" s="40" t="str">
        <f t="shared" si="35"/>
        <v/>
      </c>
    </row>
    <row r="362" spans="1:6" x14ac:dyDescent="0.2">
      <c r="A362" s="15" t="str">
        <f t="shared" si="30"/>
        <v/>
      </c>
      <c r="B362" s="16" t="str">
        <f t="shared" si="31"/>
        <v/>
      </c>
      <c r="C362" s="17" t="str">
        <f t="shared" si="32"/>
        <v/>
      </c>
      <c r="D362" s="17" t="str">
        <f t="shared" si="33"/>
        <v/>
      </c>
      <c r="E362" s="17" t="str">
        <f t="shared" si="34"/>
        <v/>
      </c>
      <c r="F362" s="17" t="str">
        <f t="shared" si="35"/>
        <v/>
      </c>
    </row>
    <row r="363" spans="1:6" x14ac:dyDescent="0.2">
      <c r="A363" s="38" t="str">
        <f t="shared" si="30"/>
        <v/>
      </c>
      <c r="B363" s="39" t="str">
        <f t="shared" si="31"/>
        <v/>
      </c>
      <c r="C363" s="40" t="str">
        <f t="shared" si="32"/>
        <v/>
      </c>
      <c r="D363" s="40" t="str">
        <f t="shared" si="33"/>
        <v/>
      </c>
      <c r="E363" s="40" t="str">
        <f t="shared" si="34"/>
        <v/>
      </c>
      <c r="F363" s="40" t="str">
        <f t="shared" si="35"/>
        <v/>
      </c>
    </row>
    <row r="364" spans="1:6" x14ac:dyDescent="0.2">
      <c r="A364" s="15" t="str">
        <f t="shared" si="30"/>
        <v/>
      </c>
      <c r="B364" s="16" t="str">
        <f t="shared" si="31"/>
        <v/>
      </c>
      <c r="C364" s="17" t="str">
        <f t="shared" si="32"/>
        <v/>
      </c>
      <c r="D364" s="17" t="str">
        <f t="shared" si="33"/>
        <v/>
      </c>
      <c r="E364" s="17" t="str">
        <f t="shared" si="34"/>
        <v/>
      </c>
      <c r="F364" s="17" t="str">
        <f t="shared" si="35"/>
        <v/>
      </c>
    </row>
    <row r="365" spans="1:6" x14ac:dyDescent="0.2">
      <c r="A365" s="38" t="str">
        <f t="shared" si="30"/>
        <v/>
      </c>
      <c r="B365" s="39" t="str">
        <f t="shared" si="31"/>
        <v/>
      </c>
      <c r="C365" s="40" t="str">
        <f t="shared" si="32"/>
        <v/>
      </c>
      <c r="D365" s="40" t="str">
        <f t="shared" si="33"/>
        <v/>
      </c>
      <c r="E365" s="40" t="str">
        <f t="shared" si="34"/>
        <v/>
      </c>
      <c r="F365" s="40" t="str">
        <f t="shared" si="35"/>
        <v/>
      </c>
    </row>
    <row r="366" spans="1:6" x14ac:dyDescent="0.2">
      <c r="A366" s="15" t="str">
        <f t="shared" si="30"/>
        <v/>
      </c>
      <c r="B366" s="16" t="str">
        <f t="shared" si="31"/>
        <v/>
      </c>
      <c r="C366" s="17" t="str">
        <f t="shared" si="32"/>
        <v/>
      </c>
      <c r="D366" s="17" t="str">
        <f t="shared" si="33"/>
        <v/>
      </c>
      <c r="E366" s="17" t="str">
        <f t="shared" si="34"/>
        <v/>
      </c>
      <c r="F366" s="17" t="str">
        <f t="shared" si="35"/>
        <v/>
      </c>
    </row>
    <row r="367" spans="1:6" x14ac:dyDescent="0.2">
      <c r="A367" s="38" t="str">
        <f t="shared" si="30"/>
        <v/>
      </c>
      <c r="B367" s="39" t="str">
        <f t="shared" si="31"/>
        <v/>
      </c>
      <c r="C367" s="40" t="str">
        <f t="shared" si="32"/>
        <v/>
      </c>
      <c r="D367" s="40" t="str">
        <f t="shared" si="33"/>
        <v/>
      </c>
      <c r="E367" s="40" t="str">
        <f t="shared" si="34"/>
        <v/>
      </c>
      <c r="F367" s="40" t="str">
        <f t="shared" si="35"/>
        <v/>
      </c>
    </row>
    <row r="368" spans="1:6" x14ac:dyDescent="0.2">
      <c r="A368" s="15" t="str">
        <f t="shared" si="30"/>
        <v/>
      </c>
      <c r="B368" s="16" t="str">
        <f t="shared" si="31"/>
        <v/>
      </c>
      <c r="C368" s="17" t="str">
        <f t="shared" si="32"/>
        <v/>
      </c>
      <c r="D368" s="17" t="str">
        <f t="shared" si="33"/>
        <v/>
      </c>
      <c r="E368" s="17" t="str">
        <f t="shared" si="34"/>
        <v/>
      </c>
      <c r="F368" s="17" t="str">
        <f t="shared" si="35"/>
        <v/>
      </c>
    </row>
    <row r="369" spans="1:6" x14ac:dyDescent="0.2">
      <c r="A369" s="38" t="str">
        <f t="shared" si="30"/>
        <v/>
      </c>
      <c r="B369" s="39" t="str">
        <f t="shared" si="31"/>
        <v/>
      </c>
      <c r="C369" s="40" t="str">
        <f t="shared" si="32"/>
        <v/>
      </c>
      <c r="D369" s="40" t="str">
        <f t="shared" si="33"/>
        <v/>
      </c>
      <c r="E369" s="40" t="str">
        <f t="shared" si="34"/>
        <v/>
      </c>
      <c r="F369" s="40" t="str">
        <f t="shared" si="35"/>
        <v/>
      </c>
    </row>
    <row r="370" spans="1:6" x14ac:dyDescent="0.2">
      <c r="A370" s="15" t="str">
        <f t="shared" si="30"/>
        <v/>
      </c>
      <c r="B370" s="16" t="str">
        <f t="shared" si="31"/>
        <v/>
      </c>
      <c r="C370" s="17" t="str">
        <f t="shared" si="32"/>
        <v/>
      </c>
      <c r="D370" s="17" t="str">
        <f t="shared" si="33"/>
        <v/>
      </c>
      <c r="E370" s="17" t="str">
        <f t="shared" si="34"/>
        <v/>
      </c>
      <c r="F370" s="17" t="str">
        <f t="shared" si="35"/>
        <v/>
      </c>
    </row>
    <row r="371" spans="1:6" x14ac:dyDescent="0.2">
      <c r="A371" s="38" t="str">
        <f t="shared" si="30"/>
        <v/>
      </c>
      <c r="B371" s="39" t="str">
        <f t="shared" si="31"/>
        <v/>
      </c>
      <c r="C371" s="40" t="str">
        <f t="shared" si="32"/>
        <v/>
      </c>
      <c r="D371" s="40" t="str">
        <f t="shared" si="33"/>
        <v/>
      </c>
      <c r="E371" s="40" t="str">
        <f t="shared" si="34"/>
        <v/>
      </c>
      <c r="F371" s="40" t="str">
        <f t="shared" si="35"/>
        <v/>
      </c>
    </row>
    <row r="372" spans="1:6" x14ac:dyDescent="0.2">
      <c r="A372" s="15" t="str">
        <f t="shared" si="30"/>
        <v/>
      </c>
      <c r="B372" s="16" t="str">
        <f t="shared" si="31"/>
        <v/>
      </c>
      <c r="C372" s="17" t="str">
        <f t="shared" si="32"/>
        <v/>
      </c>
      <c r="D372" s="17" t="str">
        <f t="shared" si="33"/>
        <v/>
      </c>
      <c r="E372" s="17" t="str">
        <f t="shared" si="34"/>
        <v/>
      </c>
      <c r="F372" s="17" t="str">
        <f t="shared" si="35"/>
        <v/>
      </c>
    </row>
    <row r="373" spans="1:6" x14ac:dyDescent="0.2">
      <c r="A373" s="38" t="str">
        <f t="shared" si="30"/>
        <v/>
      </c>
      <c r="B373" s="39" t="str">
        <f t="shared" si="31"/>
        <v/>
      </c>
      <c r="C373" s="40" t="str">
        <f t="shared" si="32"/>
        <v/>
      </c>
      <c r="D373" s="40" t="str">
        <f t="shared" si="33"/>
        <v/>
      </c>
      <c r="E373" s="40" t="str">
        <f t="shared" si="34"/>
        <v/>
      </c>
      <c r="F373" s="40" t="str">
        <f t="shared" si="35"/>
        <v/>
      </c>
    </row>
    <row r="374" spans="1:6" x14ac:dyDescent="0.2">
      <c r="A374" s="15" t="str">
        <f t="shared" si="30"/>
        <v/>
      </c>
      <c r="B374" s="16" t="str">
        <f t="shared" si="31"/>
        <v/>
      </c>
      <c r="C374" s="17" t="str">
        <f t="shared" si="32"/>
        <v/>
      </c>
      <c r="D374" s="17" t="str">
        <f t="shared" si="33"/>
        <v/>
      </c>
      <c r="E374" s="17" t="str">
        <f t="shared" si="34"/>
        <v/>
      </c>
      <c r="F374" s="17" t="str">
        <f t="shared" si="35"/>
        <v/>
      </c>
    </row>
    <row r="375" spans="1:6" x14ac:dyDescent="0.2">
      <c r="A375" s="38" t="str">
        <f t="shared" si="30"/>
        <v/>
      </c>
      <c r="B375" s="39" t="str">
        <f t="shared" si="31"/>
        <v/>
      </c>
      <c r="C375" s="40" t="str">
        <f t="shared" si="32"/>
        <v/>
      </c>
      <c r="D375" s="40" t="str">
        <f t="shared" si="33"/>
        <v/>
      </c>
      <c r="E375" s="40" t="str">
        <f t="shared" si="34"/>
        <v/>
      </c>
      <c r="F375" s="40" t="str">
        <f t="shared" si="35"/>
        <v/>
      </c>
    </row>
    <row r="376" spans="1:6" x14ac:dyDescent="0.2">
      <c r="A376" s="15" t="str">
        <f t="shared" si="30"/>
        <v/>
      </c>
      <c r="B376" s="16" t="str">
        <f t="shared" si="31"/>
        <v/>
      </c>
      <c r="C376" s="17" t="str">
        <f t="shared" si="32"/>
        <v/>
      </c>
      <c r="D376" s="17" t="str">
        <f t="shared" si="33"/>
        <v/>
      </c>
      <c r="E376" s="17" t="str">
        <f t="shared" si="34"/>
        <v/>
      </c>
      <c r="F376" s="17" t="str">
        <f t="shared" si="35"/>
        <v/>
      </c>
    </row>
    <row r="377" spans="1:6" x14ac:dyDescent="0.2">
      <c r="A377" s="38" t="str">
        <f t="shared" si="30"/>
        <v/>
      </c>
      <c r="B377" s="39" t="str">
        <f t="shared" si="31"/>
        <v/>
      </c>
      <c r="C377" s="40" t="str">
        <f t="shared" si="32"/>
        <v/>
      </c>
      <c r="D377" s="40" t="str">
        <f t="shared" si="33"/>
        <v/>
      </c>
      <c r="E377" s="40" t="str">
        <f t="shared" si="34"/>
        <v/>
      </c>
      <c r="F377" s="40" t="str">
        <f t="shared" si="35"/>
        <v/>
      </c>
    </row>
    <row r="378" spans="1:6" x14ac:dyDescent="0.2">
      <c r="A378" s="15" t="str">
        <f t="shared" si="30"/>
        <v/>
      </c>
      <c r="B378" s="16" t="str">
        <f t="shared" si="31"/>
        <v/>
      </c>
      <c r="C378" s="17" t="str">
        <f t="shared" si="32"/>
        <v/>
      </c>
      <c r="D378" s="17" t="str">
        <f t="shared" si="33"/>
        <v/>
      </c>
      <c r="E378" s="17" t="str">
        <f t="shared" si="34"/>
        <v/>
      </c>
      <c r="F378" s="17" t="str">
        <f t="shared" si="35"/>
        <v/>
      </c>
    </row>
    <row r="379" spans="1:6" x14ac:dyDescent="0.2">
      <c r="A379" s="38" t="str">
        <f t="shared" si="30"/>
        <v/>
      </c>
      <c r="B379" s="39" t="str">
        <f t="shared" si="31"/>
        <v/>
      </c>
      <c r="C379" s="40" t="str">
        <f t="shared" si="32"/>
        <v/>
      </c>
      <c r="D379" s="40" t="str">
        <f t="shared" si="33"/>
        <v/>
      </c>
      <c r="E379" s="40" t="str">
        <f t="shared" si="34"/>
        <v/>
      </c>
      <c r="F379" s="40" t="str">
        <f t="shared" si="35"/>
        <v/>
      </c>
    </row>
    <row r="380" spans="1:6" x14ac:dyDescent="0.2">
      <c r="A380" s="15" t="str">
        <f t="shared" si="30"/>
        <v/>
      </c>
      <c r="B380" s="16" t="str">
        <f t="shared" si="31"/>
        <v/>
      </c>
      <c r="C380" s="17" t="str">
        <f t="shared" si="32"/>
        <v/>
      </c>
      <c r="D380" s="17" t="str">
        <f t="shared" si="33"/>
        <v/>
      </c>
      <c r="E380" s="17" t="str">
        <f t="shared" si="34"/>
        <v/>
      </c>
      <c r="F380" s="17" t="str">
        <f t="shared" si="35"/>
        <v/>
      </c>
    </row>
    <row r="381" spans="1:6" x14ac:dyDescent="0.2">
      <c r="A381" s="38" t="str">
        <f t="shared" si="30"/>
        <v/>
      </c>
      <c r="B381" s="39" t="str">
        <f t="shared" si="31"/>
        <v/>
      </c>
      <c r="C381" s="40" t="str">
        <f t="shared" si="32"/>
        <v/>
      </c>
      <c r="D381" s="40" t="str">
        <f t="shared" si="33"/>
        <v/>
      </c>
      <c r="E381" s="40" t="str">
        <f t="shared" si="34"/>
        <v/>
      </c>
      <c r="F381" s="40" t="str">
        <f t="shared" si="35"/>
        <v/>
      </c>
    </row>
    <row r="382" spans="1:6" x14ac:dyDescent="0.2">
      <c r="A382" s="15" t="str">
        <f t="shared" si="30"/>
        <v/>
      </c>
      <c r="B382" s="16" t="str">
        <f t="shared" si="31"/>
        <v/>
      </c>
      <c r="C382" s="17" t="str">
        <f t="shared" si="32"/>
        <v/>
      </c>
      <c r="D382" s="17" t="str">
        <f t="shared" si="33"/>
        <v/>
      </c>
      <c r="E382" s="17" t="str">
        <f t="shared" si="34"/>
        <v/>
      </c>
      <c r="F382" s="17" t="str">
        <f t="shared" si="35"/>
        <v/>
      </c>
    </row>
    <row r="383" spans="1:6" x14ac:dyDescent="0.2">
      <c r="A383" s="38" t="str">
        <f t="shared" si="30"/>
        <v/>
      </c>
      <c r="B383" s="39" t="str">
        <f t="shared" si="31"/>
        <v/>
      </c>
      <c r="C383" s="40" t="str">
        <f t="shared" si="32"/>
        <v/>
      </c>
      <c r="D383" s="40" t="str">
        <f t="shared" si="33"/>
        <v/>
      </c>
      <c r="E383" s="40" t="str">
        <f t="shared" si="34"/>
        <v/>
      </c>
      <c r="F383" s="40" t="str">
        <f t="shared" si="35"/>
        <v/>
      </c>
    </row>
    <row r="384" spans="1:6" x14ac:dyDescent="0.2">
      <c r="A384" s="15" t="str">
        <f t="shared" si="30"/>
        <v/>
      </c>
      <c r="B384" s="16" t="str">
        <f t="shared" si="31"/>
        <v/>
      </c>
      <c r="C384" s="17" t="str">
        <f t="shared" si="32"/>
        <v/>
      </c>
      <c r="D384" s="17" t="str">
        <f t="shared" si="33"/>
        <v/>
      </c>
      <c r="E384" s="17" t="str">
        <f t="shared" si="34"/>
        <v/>
      </c>
      <c r="F384" s="17" t="str">
        <f t="shared" si="35"/>
        <v/>
      </c>
    </row>
    <row r="385" spans="1:6" x14ac:dyDescent="0.2">
      <c r="A385" s="38" t="str">
        <f t="shared" si="30"/>
        <v/>
      </c>
      <c r="B385" s="39" t="str">
        <f t="shared" si="31"/>
        <v/>
      </c>
      <c r="C385" s="40" t="str">
        <f t="shared" si="32"/>
        <v/>
      </c>
      <c r="D385" s="40" t="str">
        <f t="shared" si="33"/>
        <v/>
      </c>
      <c r="E385" s="40" t="str">
        <f t="shared" si="34"/>
        <v/>
      </c>
      <c r="F385" s="40" t="str">
        <f t="shared" si="35"/>
        <v/>
      </c>
    </row>
    <row r="386" spans="1:6" x14ac:dyDescent="0.2">
      <c r="A386" s="15" t="str">
        <f t="shared" si="30"/>
        <v/>
      </c>
      <c r="B386" s="16" t="str">
        <f t="shared" si="31"/>
        <v/>
      </c>
      <c r="C386" s="17" t="str">
        <f t="shared" si="32"/>
        <v/>
      </c>
      <c r="D386" s="17" t="str">
        <f t="shared" si="33"/>
        <v/>
      </c>
      <c r="E386" s="17" t="str">
        <f t="shared" si="34"/>
        <v/>
      </c>
      <c r="F386" s="17" t="str">
        <f t="shared" si="35"/>
        <v/>
      </c>
    </row>
    <row r="387" spans="1:6" x14ac:dyDescent="0.2">
      <c r="A387" s="38" t="str">
        <f t="shared" si="30"/>
        <v/>
      </c>
      <c r="B387" s="39" t="str">
        <f t="shared" si="31"/>
        <v/>
      </c>
      <c r="C387" s="40" t="str">
        <f t="shared" si="32"/>
        <v/>
      </c>
      <c r="D387" s="40" t="str">
        <f t="shared" si="33"/>
        <v/>
      </c>
      <c r="E387" s="40" t="str">
        <f t="shared" si="34"/>
        <v/>
      </c>
      <c r="F387" s="40" t="str">
        <f t="shared" si="35"/>
        <v/>
      </c>
    </row>
    <row r="388" spans="1:6" x14ac:dyDescent="0.2">
      <c r="A388" s="15" t="str">
        <f t="shared" si="30"/>
        <v/>
      </c>
      <c r="B388" s="16" t="str">
        <f t="shared" si="31"/>
        <v/>
      </c>
      <c r="C388" s="17" t="str">
        <f t="shared" si="32"/>
        <v/>
      </c>
      <c r="D388" s="17" t="str">
        <f t="shared" si="33"/>
        <v/>
      </c>
      <c r="E388" s="17" t="str">
        <f t="shared" si="34"/>
        <v/>
      </c>
      <c r="F388" s="17" t="str">
        <f t="shared" si="35"/>
        <v/>
      </c>
    </row>
    <row r="389" spans="1:6" x14ac:dyDescent="0.2">
      <c r="A389" s="38" t="str">
        <f t="shared" si="30"/>
        <v/>
      </c>
      <c r="B389" s="39" t="str">
        <f t="shared" si="31"/>
        <v/>
      </c>
      <c r="C389" s="40" t="str">
        <f t="shared" si="32"/>
        <v/>
      </c>
      <c r="D389" s="40" t="str">
        <f t="shared" si="33"/>
        <v/>
      </c>
      <c r="E389" s="40" t="str">
        <f t="shared" si="34"/>
        <v/>
      </c>
      <c r="F389" s="40" t="str">
        <f t="shared" si="35"/>
        <v/>
      </c>
    </row>
    <row r="390" spans="1:6" x14ac:dyDescent="0.2">
      <c r="A390" s="15" t="str">
        <f t="shared" si="30"/>
        <v/>
      </c>
      <c r="B390" s="16" t="str">
        <f t="shared" si="31"/>
        <v/>
      </c>
      <c r="C390" s="17" t="str">
        <f t="shared" si="32"/>
        <v/>
      </c>
      <c r="D390" s="17" t="str">
        <f t="shared" si="33"/>
        <v/>
      </c>
      <c r="E390" s="17" t="str">
        <f t="shared" si="34"/>
        <v/>
      </c>
      <c r="F390" s="17" t="str">
        <f t="shared" si="35"/>
        <v/>
      </c>
    </row>
    <row r="391" spans="1:6" x14ac:dyDescent="0.2">
      <c r="A391" s="38" t="str">
        <f t="shared" si="30"/>
        <v/>
      </c>
      <c r="B391" s="39" t="str">
        <f t="shared" si="31"/>
        <v/>
      </c>
      <c r="C391" s="40" t="str">
        <f t="shared" si="32"/>
        <v/>
      </c>
      <c r="D391" s="40" t="str">
        <f t="shared" si="33"/>
        <v/>
      </c>
      <c r="E391" s="40" t="str">
        <f t="shared" si="34"/>
        <v/>
      </c>
      <c r="F391" s="40" t="str">
        <f t="shared" si="35"/>
        <v/>
      </c>
    </row>
    <row r="392" spans="1:6" x14ac:dyDescent="0.2">
      <c r="A392" s="15" t="str">
        <f t="shared" si="30"/>
        <v/>
      </c>
      <c r="B392" s="16" t="str">
        <f t="shared" si="31"/>
        <v/>
      </c>
      <c r="C392" s="17" t="str">
        <f t="shared" si="32"/>
        <v/>
      </c>
      <c r="D392" s="17" t="str">
        <f t="shared" si="33"/>
        <v/>
      </c>
      <c r="E392" s="17" t="str">
        <f t="shared" si="34"/>
        <v/>
      </c>
      <c r="F392" s="17" t="str">
        <f t="shared" si="35"/>
        <v/>
      </c>
    </row>
    <row r="393" spans="1:6" x14ac:dyDescent="0.2">
      <c r="A393" s="38" t="str">
        <f t="shared" si="30"/>
        <v/>
      </c>
      <c r="B393" s="39" t="str">
        <f t="shared" si="31"/>
        <v/>
      </c>
      <c r="C393" s="40" t="str">
        <f t="shared" si="32"/>
        <v/>
      </c>
      <c r="D393" s="40" t="str">
        <f t="shared" si="33"/>
        <v/>
      </c>
      <c r="E393" s="40" t="str">
        <f t="shared" si="34"/>
        <v/>
      </c>
      <c r="F393" s="40" t="str">
        <f t="shared" si="35"/>
        <v/>
      </c>
    </row>
    <row r="394" spans="1:6" x14ac:dyDescent="0.2">
      <c r="A394" s="15" t="str">
        <f t="shared" si="30"/>
        <v/>
      </c>
      <c r="B394" s="16" t="str">
        <f t="shared" si="31"/>
        <v/>
      </c>
      <c r="C394" s="17" t="str">
        <f t="shared" si="32"/>
        <v/>
      </c>
      <c r="D394" s="17" t="str">
        <f t="shared" si="33"/>
        <v/>
      </c>
      <c r="E394" s="17" t="str">
        <f t="shared" si="34"/>
        <v/>
      </c>
      <c r="F394" s="17" t="str">
        <f t="shared" si="35"/>
        <v/>
      </c>
    </row>
    <row r="395" spans="1:6" x14ac:dyDescent="0.2">
      <c r="A395" s="38" t="str">
        <f t="shared" si="30"/>
        <v/>
      </c>
      <c r="B395" s="39" t="str">
        <f t="shared" si="31"/>
        <v/>
      </c>
      <c r="C395" s="40" t="str">
        <f t="shared" si="32"/>
        <v/>
      </c>
      <c r="D395" s="40" t="str">
        <f t="shared" si="33"/>
        <v/>
      </c>
      <c r="E395" s="40" t="str">
        <f t="shared" si="34"/>
        <v/>
      </c>
      <c r="F395" s="40" t="str">
        <f t="shared" si="35"/>
        <v/>
      </c>
    </row>
    <row r="396" spans="1:6" x14ac:dyDescent="0.2">
      <c r="A396" s="15" t="str">
        <f t="shared" si="30"/>
        <v/>
      </c>
      <c r="B396" s="16" t="str">
        <f t="shared" si="31"/>
        <v/>
      </c>
      <c r="C396" s="17" t="str">
        <f t="shared" si="32"/>
        <v/>
      </c>
      <c r="D396" s="17" t="str">
        <f t="shared" si="33"/>
        <v/>
      </c>
      <c r="E396" s="17" t="str">
        <f t="shared" si="34"/>
        <v/>
      </c>
      <c r="F396" s="17" t="str">
        <f t="shared" si="35"/>
        <v/>
      </c>
    </row>
    <row r="397" spans="1:6" x14ac:dyDescent="0.2">
      <c r="A397" s="38" t="str">
        <f t="shared" si="30"/>
        <v/>
      </c>
      <c r="B397" s="39" t="str">
        <f t="shared" si="31"/>
        <v/>
      </c>
      <c r="C397" s="40" t="str">
        <f t="shared" si="32"/>
        <v/>
      </c>
      <c r="D397" s="40" t="str">
        <f t="shared" si="33"/>
        <v/>
      </c>
      <c r="E397" s="40" t="str">
        <f t="shared" si="34"/>
        <v/>
      </c>
      <c r="F397" s="40" t="str">
        <f t="shared" si="35"/>
        <v/>
      </c>
    </row>
    <row r="398" spans="1:6" x14ac:dyDescent="0.2">
      <c r="A398" s="15" t="str">
        <f t="shared" si="30"/>
        <v/>
      </c>
      <c r="B398" s="16" t="str">
        <f t="shared" si="31"/>
        <v/>
      </c>
      <c r="C398" s="17" t="str">
        <f t="shared" si="32"/>
        <v/>
      </c>
      <c r="D398" s="17" t="str">
        <f t="shared" si="33"/>
        <v/>
      </c>
      <c r="E398" s="17" t="str">
        <f t="shared" si="34"/>
        <v/>
      </c>
      <c r="F398" s="17" t="str">
        <f t="shared" si="35"/>
        <v/>
      </c>
    </row>
    <row r="399" spans="1:6" x14ac:dyDescent="0.2">
      <c r="A399" s="38" t="str">
        <f t="shared" ref="A399:A462" si="36">IF(A398&lt;$B$5*12,A398+1,"")</f>
        <v/>
      </c>
      <c r="B399" s="39" t="str">
        <f t="shared" ref="B399:B462" si="37">IF(A399="","",A399/12)</f>
        <v/>
      </c>
      <c r="C399" s="40" t="str">
        <f t="shared" ref="C399:C462" si="38">IF(A399="","",F398)</f>
        <v/>
      </c>
      <c r="D399" s="40" t="str">
        <f t="shared" ref="D399:D462" si="39">IF(A399="","",C399*$B$7/12)</f>
        <v/>
      </c>
      <c r="E399" s="40" t="str">
        <f t="shared" ref="E399:E462" si="40">IF(A399="","",MIN($B$6,C399+D399))</f>
        <v/>
      </c>
      <c r="F399" s="40" t="str">
        <f t="shared" ref="F399:F462" si="41">IF(A399="","",MAX(0,C399+D399-E399))</f>
        <v/>
      </c>
    </row>
    <row r="400" spans="1:6" x14ac:dyDescent="0.2">
      <c r="A400" s="15" t="str">
        <f t="shared" si="36"/>
        <v/>
      </c>
      <c r="B400" s="16" t="str">
        <f t="shared" si="37"/>
        <v/>
      </c>
      <c r="C400" s="17" t="str">
        <f t="shared" si="38"/>
        <v/>
      </c>
      <c r="D400" s="17" t="str">
        <f t="shared" si="39"/>
        <v/>
      </c>
      <c r="E400" s="17" t="str">
        <f t="shared" si="40"/>
        <v/>
      </c>
      <c r="F400" s="17" t="str">
        <f t="shared" si="41"/>
        <v/>
      </c>
    </row>
    <row r="401" spans="1:6" x14ac:dyDescent="0.2">
      <c r="A401" s="38" t="str">
        <f t="shared" si="36"/>
        <v/>
      </c>
      <c r="B401" s="39" t="str">
        <f t="shared" si="37"/>
        <v/>
      </c>
      <c r="C401" s="40" t="str">
        <f t="shared" si="38"/>
        <v/>
      </c>
      <c r="D401" s="40" t="str">
        <f t="shared" si="39"/>
        <v/>
      </c>
      <c r="E401" s="40" t="str">
        <f t="shared" si="40"/>
        <v/>
      </c>
      <c r="F401" s="40" t="str">
        <f t="shared" si="41"/>
        <v/>
      </c>
    </row>
    <row r="402" spans="1:6" x14ac:dyDescent="0.2">
      <c r="A402" s="15" t="str">
        <f t="shared" si="36"/>
        <v/>
      </c>
      <c r="B402" s="16" t="str">
        <f t="shared" si="37"/>
        <v/>
      </c>
      <c r="C402" s="17" t="str">
        <f t="shared" si="38"/>
        <v/>
      </c>
      <c r="D402" s="17" t="str">
        <f t="shared" si="39"/>
        <v/>
      </c>
      <c r="E402" s="17" t="str">
        <f t="shared" si="40"/>
        <v/>
      </c>
      <c r="F402" s="17" t="str">
        <f t="shared" si="41"/>
        <v/>
      </c>
    </row>
    <row r="403" spans="1:6" x14ac:dyDescent="0.2">
      <c r="A403" s="38" t="str">
        <f t="shared" si="36"/>
        <v/>
      </c>
      <c r="B403" s="39" t="str">
        <f t="shared" si="37"/>
        <v/>
      </c>
      <c r="C403" s="40" t="str">
        <f t="shared" si="38"/>
        <v/>
      </c>
      <c r="D403" s="40" t="str">
        <f t="shared" si="39"/>
        <v/>
      </c>
      <c r="E403" s="40" t="str">
        <f t="shared" si="40"/>
        <v/>
      </c>
      <c r="F403" s="40" t="str">
        <f t="shared" si="41"/>
        <v/>
      </c>
    </row>
    <row r="404" spans="1:6" x14ac:dyDescent="0.2">
      <c r="A404" s="15" t="str">
        <f t="shared" si="36"/>
        <v/>
      </c>
      <c r="B404" s="16" t="str">
        <f t="shared" si="37"/>
        <v/>
      </c>
      <c r="C404" s="17" t="str">
        <f t="shared" si="38"/>
        <v/>
      </c>
      <c r="D404" s="17" t="str">
        <f t="shared" si="39"/>
        <v/>
      </c>
      <c r="E404" s="17" t="str">
        <f t="shared" si="40"/>
        <v/>
      </c>
      <c r="F404" s="17" t="str">
        <f t="shared" si="41"/>
        <v/>
      </c>
    </row>
    <row r="405" spans="1:6" x14ac:dyDescent="0.2">
      <c r="A405" s="38" t="str">
        <f t="shared" si="36"/>
        <v/>
      </c>
      <c r="B405" s="39" t="str">
        <f t="shared" si="37"/>
        <v/>
      </c>
      <c r="C405" s="40" t="str">
        <f t="shared" si="38"/>
        <v/>
      </c>
      <c r="D405" s="40" t="str">
        <f t="shared" si="39"/>
        <v/>
      </c>
      <c r="E405" s="40" t="str">
        <f t="shared" si="40"/>
        <v/>
      </c>
      <c r="F405" s="40" t="str">
        <f t="shared" si="41"/>
        <v/>
      </c>
    </row>
    <row r="406" spans="1:6" x14ac:dyDescent="0.2">
      <c r="A406" s="15" t="str">
        <f t="shared" si="36"/>
        <v/>
      </c>
      <c r="B406" s="16" t="str">
        <f t="shared" si="37"/>
        <v/>
      </c>
      <c r="C406" s="17" t="str">
        <f t="shared" si="38"/>
        <v/>
      </c>
      <c r="D406" s="17" t="str">
        <f t="shared" si="39"/>
        <v/>
      </c>
      <c r="E406" s="17" t="str">
        <f t="shared" si="40"/>
        <v/>
      </c>
      <c r="F406" s="17" t="str">
        <f t="shared" si="41"/>
        <v/>
      </c>
    </row>
    <row r="407" spans="1:6" x14ac:dyDescent="0.2">
      <c r="A407" s="38" t="str">
        <f t="shared" si="36"/>
        <v/>
      </c>
      <c r="B407" s="39" t="str">
        <f t="shared" si="37"/>
        <v/>
      </c>
      <c r="C407" s="40" t="str">
        <f t="shared" si="38"/>
        <v/>
      </c>
      <c r="D407" s="40" t="str">
        <f t="shared" si="39"/>
        <v/>
      </c>
      <c r="E407" s="40" t="str">
        <f t="shared" si="40"/>
        <v/>
      </c>
      <c r="F407" s="40" t="str">
        <f t="shared" si="41"/>
        <v/>
      </c>
    </row>
    <row r="408" spans="1:6" x14ac:dyDescent="0.2">
      <c r="A408" s="15" t="str">
        <f t="shared" si="36"/>
        <v/>
      </c>
      <c r="B408" s="16" t="str">
        <f t="shared" si="37"/>
        <v/>
      </c>
      <c r="C408" s="17" t="str">
        <f t="shared" si="38"/>
        <v/>
      </c>
      <c r="D408" s="17" t="str">
        <f t="shared" si="39"/>
        <v/>
      </c>
      <c r="E408" s="17" t="str">
        <f t="shared" si="40"/>
        <v/>
      </c>
      <c r="F408" s="17" t="str">
        <f t="shared" si="41"/>
        <v/>
      </c>
    </row>
    <row r="409" spans="1:6" x14ac:dyDescent="0.2">
      <c r="A409" s="38" t="str">
        <f t="shared" si="36"/>
        <v/>
      </c>
      <c r="B409" s="39" t="str">
        <f t="shared" si="37"/>
        <v/>
      </c>
      <c r="C409" s="40" t="str">
        <f t="shared" si="38"/>
        <v/>
      </c>
      <c r="D409" s="40" t="str">
        <f t="shared" si="39"/>
        <v/>
      </c>
      <c r="E409" s="40" t="str">
        <f t="shared" si="40"/>
        <v/>
      </c>
      <c r="F409" s="40" t="str">
        <f t="shared" si="41"/>
        <v/>
      </c>
    </row>
    <row r="410" spans="1:6" x14ac:dyDescent="0.2">
      <c r="A410" s="15" t="str">
        <f t="shared" si="36"/>
        <v/>
      </c>
      <c r="B410" s="16" t="str">
        <f t="shared" si="37"/>
        <v/>
      </c>
      <c r="C410" s="17" t="str">
        <f t="shared" si="38"/>
        <v/>
      </c>
      <c r="D410" s="17" t="str">
        <f t="shared" si="39"/>
        <v/>
      </c>
      <c r="E410" s="17" t="str">
        <f t="shared" si="40"/>
        <v/>
      </c>
      <c r="F410" s="17" t="str">
        <f t="shared" si="41"/>
        <v/>
      </c>
    </row>
    <row r="411" spans="1:6" x14ac:dyDescent="0.2">
      <c r="A411" s="38" t="str">
        <f t="shared" si="36"/>
        <v/>
      </c>
      <c r="B411" s="39" t="str">
        <f t="shared" si="37"/>
        <v/>
      </c>
      <c r="C411" s="40" t="str">
        <f t="shared" si="38"/>
        <v/>
      </c>
      <c r="D411" s="40" t="str">
        <f t="shared" si="39"/>
        <v/>
      </c>
      <c r="E411" s="40" t="str">
        <f t="shared" si="40"/>
        <v/>
      </c>
      <c r="F411" s="40" t="str">
        <f t="shared" si="41"/>
        <v/>
      </c>
    </row>
    <row r="412" spans="1:6" x14ac:dyDescent="0.2">
      <c r="A412" s="15" t="str">
        <f t="shared" si="36"/>
        <v/>
      </c>
      <c r="B412" s="16" t="str">
        <f t="shared" si="37"/>
        <v/>
      </c>
      <c r="C412" s="17" t="str">
        <f t="shared" si="38"/>
        <v/>
      </c>
      <c r="D412" s="17" t="str">
        <f t="shared" si="39"/>
        <v/>
      </c>
      <c r="E412" s="17" t="str">
        <f t="shared" si="40"/>
        <v/>
      </c>
      <c r="F412" s="17" t="str">
        <f t="shared" si="41"/>
        <v/>
      </c>
    </row>
    <row r="413" spans="1:6" x14ac:dyDescent="0.2">
      <c r="A413" s="38" t="str">
        <f t="shared" si="36"/>
        <v/>
      </c>
      <c r="B413" s="39" t="str">
        <f t="shared" si="37"/>
        <v/>
      </c>
      <c r="C413" s="40" t="str">
        <f t="shared" si="38"/>
        <v/>
      </c>
      <c r="D413" s="40" t="str">
        <f t="shared" si="39"/>
        <v/>
      </c>
      <c r="E413" s="40" t="str">
        <f t="shared" si="40"/>
        <v/>
      </c>
      <c r="F413" s="40" t="str">
        <f t="shared" si="41"/>
        <v/>
      </c>
    </row>
    <row r="414" spans="1:6" x14ac:dyDescent="0.2">
      <c r="A414" s="15" t="str">
        <f t="shared" si="36"/>
        <v/>
      </c>
      <c r="B414" s="16" t="str">
        <f t="shared" si="37"/>
        <v/>
      </c>
      <c r="C414" s="17" t="str">
        <f t="shared" si="38"/>
        <v/>
      </c>
      <c r="D414" s="17" t="str">
        <f t="shared" si="39"/>
        <v/>
      </c>
      <c r="E414" s="17" t="str">
        <f t="shared" si="40"/>
        <v/>
      </c>
      <c r="F414" s="17" t="str">
        <f t="shared" si="41"/>
        <v/>
      </c>
    </row>
    <row r="415" spans="1:6" x14ac:dyDescent="0.2">
      <c r="A415" s="38" t="str">
        <f t="shared" si="36"/>
        <v/>
      </c>
      <c r="B415" s="39" t="str">
        <f t="shared" si="37"/>
        <v/>
      </c>
      <c r="C415" s="40" t="str">
        <f t="shared" si="38"/>
        <v/>
      </c>
      <c r="D415" s="40" t="str">
        <f t="shared" si="39"/>
        <v/>
      </c>
      <c r="E415" s="40" t="str">
        <f t="shared" si="40"/>
        <v/>
      </c>
      <c r="F415" s="40" t="str">
        <f t="shared" si="41"/>
        <v/>
      </c>
    </row>
    <row r="416" spans="1:6" x14ac:dyDescent="0.2">
      <c r="A416" s="15" t="str">
        <f t="shared" si="36"/>
        <v/>
      </c>
      <c r="B416" s="16" t="str">
        <f t="shared" si="37"/>
        <v/>
      </c>
      <c r="C416" s="17" t="str">
        <f t="shared" si="38"/>
        <v/>
      </c>
      <c r="D416" s="17" t="str">
        <f t="shared" si="39"/>
        <v/>
      </c>
      <c r="E416" s="17" t="str">
        <f t="shared" si="40"/>
        <v/>
      </c>
      <c r="F416" s="17" t="str">
        <f t="shared" si="41"/>
        <v/>
      </c>
    </row>
    <row r="417" spans="1:6" x14ac:dyDescent="0.2">
      <c r="A417" s="38" t="str">
        <f t="shared" si="36"/>
        <v/>
      </c>
      <c r="B417" s="39" t="str">
        <f t="shared" si="37"/>
        <v/>
      </c>
      <c r="C417" s="40" t="str">
        <f t="shared" si="38"/>
        <v/>
      </c>
      <c r="D417" s="40" t="str">
        <f t="shared" si="39"/>
        <v/>
      </c>
      <c r="E417" s="40" t="str">
        <f t="shared" si="40"/>
        <v/>
      </c>
      <c r="F417" s="40" t="str">
        <f t="shared" si="41"/>
        <v/>
      </c>
    </row>
    <row r="418" spans="1:6" x14ac:dyDescent="0.2">
      <c r="A418" s="15" t="str">
        <f t="shared" si="36"/>
        <v/>
      </c>
      <c r="B418" s="16" t="str">
        <f t="shared" si="37"/>
        <v/>
      </c>
      <c r="C418" s="17" t="str">
        <f t="shared" si="38"/>
        <v/>
      </c>
      <c r="D418" s="17" t="str">
        <f t="shared" si="39"/>
        <v/>
      </c>
      <c r="E418" s="17" t="str">
        <f t="shared" si="40"/>
        <v/>
      </c>
      <c r="F418" s="17" t="str">
        <f t="shared" si="41"/>
        <v/>
      </c>
    </row>
    <row r="419" spans="1:6" x14ac:dyDescent="0.2">
      <c r="A419" s="38" t="str">
        <f t="shared" si="36"/>
        <v/>
      </c>
      <c r="B419" s="39" t="str">
        <f t="shared" si="37"/>
        <v/>
      </c>
      <c r="C419" s="40" t="str">
        <f t="shared" si="38"/>
        <v/>
      </c>
      <c r="D419" s="40" t="str">
        <f t="shared" si="39"/>
        <v/>
      </c>
      <c r="E419" s="40" t="str">
        <f t="shared" si="40"/>
        <v/>
      </c>
      <c r="F419" s="40" t="str">
        <f t="shared" si="41"/>
        <v/>
      </c>
    </row>
    <row r="420" spans="1:6" x14ac:dyDescent="0.2">
      <c r="A420" s="15" t="str">
        <f t="shared" si="36"/>
        <v/>
      </c>
      <c r="B420" s="16" t="str">
        <f t="shared" si="37"/>
        <v/>
      </c>
      <c r="C420" s="17" t="str">
        <f t="shared" si="38"/>
        <v/>
      </c>
      <c r="D420" s="17" t="str">
        <f t="shared" si="39"/>
        <v/>
      </c>
      <c r="E420" s="17" t="str">
        <f t="shared" si="40"/>
        <v/>
      </c>
      <c r="F420" s="17" t="str">
        <f t="shared" si="41"/>
        <v/>
      </c>
    </row>
    <row r="421" spans="1:6" x14ac:dyDescent="0.2">
      <c r="A421" s="38" t="str">
        <f t="shared" si="36"/>
        <v/>
      </c>
      <c r="B421" s="39" t="str">
        <f t="shared" si="37"/>
        <v/>
      </c>
      <c r="C421" s="40" t="str">
        <f t="shared" si="38"/>
        <v/>
      </c>
      <c r="D421" s="40" t="str">
        <f t="shared" si="39"/>
        <v/>
      </c>
      <c r="E421" s="40" t="str">
        <f t="shared" si="40"/>
        <v/>
      </c>
      <c r="F421" s="40" t="str">
        <f t="shared" si="41"/>
        <v/>
      </c>
    </row>
    <row r="422" spans="1:6" x14ac:dyDescent="0.2">
      <c r="A422" s="15" t="str">
        <f t="shared" si="36"/>
        <v/>
      </c>
      <c r="B422" s="16" t="str">
        <f t="shared" si="37"/>
        <v/>
      </c>
      <c r="C422" s="17" t="str">
        <f t="shared" si="38"/>
        <v/>
      </c>
      <c r="D422" s="17" t="str">
        <f t="shared" si="39"/>
        <v/>
      </c>
      <c r="E422" s="17" t="str">
        <f t="shared" si="40"/>
        <v/>
      </c>
      <c r="F422" s="17" t="str">
        <f t="shared" si="41"/>
        <v/>
      </c>
    </row>
    <row r="423" spans="1:6" x14ac:dyDescent="0.2">
      <c r="A423" s="38" t="str">
        <f t="shared" si="36"/>
        <v/>
      </c>
      <c r="B423" s="39" t="str">
        <f t="shared" si="37"/>
        <v/>
      </c>
      <c r="C423" s="40" t="str">
        <f t="shared" si="38"/>
        <v/>
      </c>
      <c r="D423" s="40" t="str">
        <f t="shared" si="39"/>
        <v/>
      </c>
      <c r="E423" s="40" t="str">
        <f t="shared" si="40"/>
        <v/>
      </c>
      <c r="F423" s="40" t="str">
        <f t="shared" si="41"/>
        <v/>
      </c>
    </row>
    <row r="424" spans="1:6" x14ac:dyDescent="0.2">
      <c r="A424" s="15" t="str">
        <f t="shared" si="36"/>
        <v/>
      </c>
      <c r="B424" s="16" t="str">
        <f t="shared" si="37"/>
        <v/>
      </c>
      <c r="C424" s="17" t="str">
        <f t="shared" si="38"/>
        <v/>
      </c>
      <c r="D424" s="17" t="str">
        <f t="shared" si="39"/>
        <v/>
      </c>
      <c r="E424" s="17" t="str">
        <f t="shared" si="40"/>
        <v/>
      </c>
      <c r="F424" s="17" t="str">
        <f t="shared" si="41"/>
        <v/>
      </c>
    </row>
    <row r="425" spans="1:6" x14ac:dyDescent="0.2">
      <c r="A425" s="38" t="str">
        <f t="shared" si="36"/>
        <v/>
      </c>
      <c r="B425" s="39" t="str">
        <f t="shared" si="37"/>
        <v/>
      </c>
      <c r="C425" s="40" t="str">
        <f t="shared" si="38"/>
        <v/>
      </c>
      <c r="D425" s="40" t="str">
        <f t="shared" si="39"/>
        <v/>
      </c>
      <c r="E425" s="40" t="str">
        <f t="shared" si="40"/>
        <v/>
      </c>
      <c r="F425" s="40" t="str">
        <f t="shared" si="41"/>
        <v/>
      </c>
    </row>
    <row r="426" spans="1:6" x14ac:dyDescent="0.2">
      <c r="A426" s="15" t="str">
        <f t="shared" si="36"/>
        <v/>
      </c>
      <c r="B426" s="16" t="str">
        <f t="shared" si="37"/>
        <v/>
      </c>
      <c r="C426" s="17" t="str">
        <f t="shared" si="38"/>
        <v/>
      </c>
      <c r="D426" s="17" t="str">
        <f t="shared" si="39"/>
        <v/>
      </c>
      <c r="E426" s="17" t="str">
        <f t="shared" si="40"/>
        <v/>
      </c>
      <c r="F426" s="17" t="str">
        <f t="shared" si="41"/>
        <v/>
      </c>
    </row>
    <row r="427" spans="1:6" x14ac:dyDescent="0.2">
      <c r="A427" s="38" t="str">
        <f t="shared" si="36"/>
        <v/>
      </c>
      <c r="B427" s="39" t="str">
        <f t="shared" si="37"/>
        <v/>
      </c>
      <c r="C427" s="40" t="str">
        <f t="shared" si="38"/>
        <v/>
      </c>
      <c r="D427" s="40" t="str">
        <f t="shared" si="39"/>
        <v/>
      </c>
      <c r="E427" s="40" t="str">
        <f t="shared" si="40"/>
        <v/>
      </c>
      <c r="F427" s="40" t="str">
        <f t="shared" si="41"/>
        <v/>
      </c>
    </row>
    <row r="428" spans="1:6" x14ac:dyDescent="0.2">
      <c r="A428" s="15" t="str">
        <f t="shared" si="36"/>
        <v/>
      </c>
      <c r="B428" s="16" t="str">
        <f t="shared" si="37"/>
        <v/>
      </c>
      <c r="C428" s="17" t="str">
        <f t="shared" si="38"/>
        <v/>
      </c>
      <c r="D428" s="17" t="str">
        <f t="shared" si="39"/>
        <v/>
      </c>
      <c r="E428" s="17" t="str">
        <f t="shared" si="40"/>
        <v/>
      </c>
      <c r="F428" s="17" t="str">
        <f t="shared" si="41"/>
        <v/>
      </c>
    </row>
    <row r="429" spans="1:6" x14ac:dyDescent="0.2">
      <c r="A429" s="38" t="str">
        <f t="shared" si="36"/>
        <v/>
      </c>
      <c r="B429" s="39" t="str">
        <f t="shared" si="37"/>
        <v/>
      </c>
      <c r="C429" s="40" t="str">
        <f t="shared" si="38"/>
        <v/>
      </c>
      <c r="D429" s="40" t="str">
        <f t="shared" si="39"/>
        <v/>
      </c>
      <c r="E429" s="40" t="str">
        <f t="shared" si="40"/>
        <v/>
      </c>
      <c r="F429" s="40" t="str">
        <f t="shared" si="41"/>
        <v/>
      </c>
    </row>
    <row r="430" spans="1:6" x14ac:dyDescent="0.2">
      <c r="A430" s="15" t="str">
        <f t="shared" si="36"/>
        <v/>
      </c>
      <c r="B430" s="16" t="str">
        <f t="shared" si="37"/>
        <v/>
      </c>
      <c r="C430" s="17" t="str">
        <f t="shared" si="38"/>
        <v/>
      </c>
      <c r="D430" s="17" t="str">
        <f t="shared" si="39"/>
        <v/>
      </c>
      <c r="E430" s="17" t="str">
        <f t="shared" si="40"/>
        <v/>
      </c>
      <c r="F430" s="17" t="str">
        <f t="shared" si="41"/>
        <v/>
      </c>
    </row>
    <row r="431" spans="1:6" x14ac:dyDescent="0.2">
      <c r="A431" s="38" t="str">
        <f t="shared" si="36"/>
        <v/>
      </c>
      <c r="B431" s="39" t="str">
        <f t="shared" si="37"/>
        <v/>
      </c>
      <c r="C431" s="40" t="str">
        <f t="shared" si="38"/>
        <v/>
      </c>
      <c r="D431" s="40" t="str">
        <f t="shared" si="39"/>
        <v/>
      </c>
      <c r="E431" s="40" t="str">
        <f t="shared" si="40"/>
        <v/>
      </c>
      <c r="F431" s="40" t="str">
        <f t="shared" si="41"/>
        <v/>
      </c>
    </row>
    <row r="432" spans="1:6" x14ac:dyDescent="0.2">
      <c r="A432" s="15" t="str">
        <f t="shared" si="36"/>
        <v/>
      </c>
      <c r="B432" s="16" t="str">
        <f t="shared" si="37"/>
        <v/>
      </c>
      <c r="C432" s="17" t="str">
        <f t="shared" si="38"/>
        <v/>
      </c>
      <c r="D432" s="17" t="str">
        <f t="shared" si="39"/>
        <v/>
      </c>
      <c r="E432" s="17" t="str">
        <f t="shared" si="40"/>
        <v/>
      </c>
      <c r="F432" s="17" t="str">
        <f t="shared" si="41"/>
        <v/>
      </c>
    </row>
    <row r="433" spans="1:6" x14ac:dyDescent="0.2">
      <c r="A433" s="38" t="str">
        <f t="shared" si="36"/>
        <v/>
      </c>
      <c r="B433" s="39" t="str">
        <f t="shared" si="37"/>
        <v/>
      </c>
      <c r="C433" s="40" t="str">
        <f t="shared" si="38"/>
        <v/>
      </c>
      <c r="D433" s="40" t="str">
        <f t="shared" si="39"/>
        <v/>
      </c>
      <c r="E433" s="40" t="str">
        <f t="shared" si="40"/>
        <v/>
      </c>
      <c r="F433" s="40" t="str">
        <f t="shared" si="41"/>
        <v/>
      </c>
    </row>
    <row r="434" spans="1:6" x14ac:dyDescent="0.2">
      <c r="A434" s="15" t="str">
        <f t="shared" si="36"/>
        <v/>
      </c>
      <c r="B434" s="16" t="str">
        <f t="shared" si="37"/>
        <v/>
      </c>
      <c r="C434" s="17" t="str">
        <f t="shared" si="38"/>
        <v/>
      </c>
      <c r="D434" s="17" t="str">
        <f t="shared" si="39"/>
        <v/>
      </c>
      <c r="E434" s="17" t="str">
        <f t="shared" si="40"/>
        <v/>
      </c>
      <c r="F434" s="17" t="str">
        <f t="shared" si="41"/>
        <v/>
      </c>
    </row>
    <row r="435" spans="1:6" x14ac:dyDescent="0.2">
      <c r="A435" s="38" t="str">
        <f t="shared" si="36"/>
        <v/>
      </c>
      <c r="B435" s="39" t="str">
        <f t="shared" si="37"/>
        <v/>
      </c>
      <c r="C435" s="40" t="str">
        <f t="shared" si="38"/>
        <v/>
      </c>
      <c r="D435" s="40" t="str">
        <f t="shared" si="39"/>
        <v/>
      </c>
      <c r="E435" s="40" t="str">
        <f t="shared" si="40"/>
        <v/>
      </c>
      <c r="F435" s="40" t="str">
        <f t="shared" si="41"/>
        <v/>
      </c>
    </row>
    <row r="436" spans="1:6" x14ac:dyDescent="0.2">
      <c r="A436" s="15" t="str">
        <f t="shared" si="36"/>
        <v/>
      </c>
      <c r="B436" s="16" t="str">
        <f t="shared" si="37"/>
        <v/>
      </c>
      <c r="C436" s="17" t="str">
        <f t="shared" si="38"/>
        <v/>
      </c>
      <c r="D436" s="17" t="str">
        <f t="shared" si="39"/>
        <v/>
      </c>
      <c r="E436" s="17" t="str">
        <f t="shared" si="40"/>
        <v/>
      </c>
      <c r="F436" s="17" t="str">
        <f t="shared" si="41"/>
        <v/>
      </c>
    </row>
    <row r="437" spans="1:6" x14ac:dyDescent="0.2">
      <c r="A437" s="38" t="str">
        <f t="shared" si="36"/>
        <v/>
      </c>
      <c r="B437" s="39" t="str">
        <f t="shared" si="37"/>
        <v/>
      </c>
      <c r="C437" s="40" t="str">
        <f t="shared" si="38"/>
        <v/>
      </c>
      <c r="D437" s="40" t="str">
        <f t="shared" si="39"/>
        <v/>
      </c>
      <c r="E437" s="40" t="str">
        <f t="shared" si="40"/>
        <v/>
      </c>
      <c r="F437" s="40" t="str">
        <f t="shared" si="41"/>
        <v/>
      </c>
    </row>
    <row r="438" spans="1:6" x14ac:dyDescent="0.2">
      <c r="A438" s="15" t="str">
        <f t="shared" si="36"/>
        <v/>
      </c>
      <c r="B438" s="16" t="str">
        <f t="shared" si="37"/>
        <v/>
      </c>
      <c r="C438" s="17" t="str">
        <f t="shared" si="38"/>
        <v/>
      </c>
      <c r="D438" s="17" t="str">
        <f t="shared" si="39"/>
        <v/>
      </c>
      <c r="E438" s="17" t="str">
        <f t="shared" si="40"/>
        <v/>
      </c>
      <c r="F438" s="17" t="str">
        <f t="shared" si="41"/>
        <v/>
      </c>
    </row>
    <row r="439" spans="1:6" x14ac:dyDescent="0.2">
      <c r="A439" s="38" t="str">
        <f t="shared" si="36"/>
        <v/>
      </c>
      <c r="B439" s="39" t="str">
        <f t="shared" si="37"/>
        <v/>
      </c>
      <c r="C439" s="40" t="str">
        <f t="shared" si="38"/>
        <v/>
      </c>
      <c r="D439" s="40" t="str">
        <f t="shared" si="39"/>
        <v/>
      </c>
      <c r="E439" s="40" t="str">
        <f t="shared" si="40"/>
        <v/>
      </c>
      <c r="F439" s="40" t="str">
        <f t="shared" si="41"/>
        <v/>
      </c>
    </row>
    <row r="440" spans="1:6" x14ac:dyDescent="0.2">
      <c r="A440" s="15" t="str">
        <f t="shared" si="36"/>
        <v/>
      </c>
      <c r="B440" s="16" t="str">
        <f t="shared" si="37"/>
        <v/>
      </c>
      <c r="C440" s="17" t="str">
        <f t="shared" si="38"/>
        <v/>
      </c>
      <c r="D440" s="17" t="str">
        <f t="shared" si="39"/>
        <v/>
      </c>
      <c r="E440" s="17" t="str">
        <f t="shared" si="40"/>
        <v/>
      </c>
      <c r="F440" s="17" t="str">
        <f t="shared" si="41"/>
        <v/>
      </c>
    </row>
    <row r="441" spans="1:6" x14ac:dyDescent="0.2">
      <c r="A441" s="38" t="str">
        <f t="shared" si="36"/>
        <v/>
      </c>
      <c r="B441" s="39" t="str">
        <f t="shared" si="37"/>
        <v/>
      </c>
      <c r="C441" s="40" t="str">
        <f t="shared" si="38"/>
        <v/>
      </c>
      <c r="D441" s="40" t="str">
        <f t="shared" si="39"/>
        <v/>
      </c>
      <c r="E441" s="40" t="str">
        <f t="shared" si="40"/>
        <v/>
      </c>
      <c r="F441" s="40" t="str">
        <f t="shared" si="41"/>
        <v/>
      </c>
    </row>
    <row r="442" spans="1:6" x14ac:dyDescent="0.2">
      <c r="A442" s="15" t="str">
        <f t="shared" si="36"/>
        <v/>
      </c>
      <c r="B442" s="16" t="str">
        <f t="shared" si="37"/>
        <v/>
      </c>
      <c r="C442" s="17" t="str">
        <f t="shared" si="38"/>
        <v/>
      </c>
      <c r="D442" s="17" t="str">
        <f t="shared" si="39"/>
        <v/>
      </c>
      <c r="E442" s="17" t="str">
        <f t="shared" si="40"/>
        <v/>
      </c>
      <c r="F442" s="17" t="str">
        <f t="shared" si="41"/>
        <v/>
      </c>
    </row>
    <row r="443" spans="1:6" x14ac:dyDescent="0.2">
      <c r="A443" s="38" t="str">
        <f t="shared" si="36"/>
        <v/>
      </c>
      <c r="B443" s="39" t="str">
        <f t="shared" si="37"/>
        <v/>
      </c>
      <c r="C443" s="40" t="str">
        <f t="shared" si="38"/>
        <v/>
      </c>
      <c r="D443" s="40" t="str">
        <f t="shared" si="39"/>
        <v/>
      </c>
      <c r="E443" s="40" t="str">
        <f t="shared" si="40"/>
        <v/>
      </c>
      <c r="F443" s="40" t="str">
        <f t="shared" si="41"/>
        <v/>
      </c>
    </row>
    <row r="444" spans="1:6" x14ac:dyDescent="0.2">
      <c r="A444" s="15" t="str">
        <f t="shared" si="36"/>
        <v/>
      </c>
      <c r="B444" s="16" t="str">
        <f t="shared" si="37"/>
        <v/>
      </c>
      <c r="C444" s="17" t="str">
        <f t="shared" si="38"/>
        <v/>
      </c>
      <c r="D444" s="17" t="str">
        <f t="shared" si="39"/>
        <v/>
      </c>
      <c r="E444" s="17" t="str">
        <f t="shared" si="40"/>
        <v/>
      </c>
      <c r="F444" s="17" t="str">
        <f t="shared" si="41"/>
        <v/>
      </c>
    </row>
    <row r="445" spans="1:6" x14ac:dyDescent="0.2">
      <c r="A445" s="38" t="str">
        <f t="shared" si="36"/>
        <v/>
      </c>
      <c r="B445" s="39" t="str">
        <f t="shared" si="37"/>
        <v/>
      </c>
      <c r="C445" s="40" t="str">
        <f t="shared" si="38"/>
        <v/>
      </c>
      <c r="D445" s="40" t="str">
        <f t="shared" si="39"/>
        <v/>
      </c>
      <c r="E445" s="40" t="str">
        <f t="shared" si="40"/>
        <v/>
      </c>
      <c r="F445" s="40" t="str">
        <f t="shared" si="41"/>
        <v/>
      </c>
    </row>
    <row r="446" spans="1:6" x14ac:dyDescent="0.2">
      <c r="A446" s="15" t="str">
        <f t="shared" si="36"/>
        <v/>
      </c>
      <c r="B446" s="16" t="str">
        <f t="shared" si="37"/>
        <v/>
      </c>
      <c r="C446" s="17" t="str">
        <f t="shared" si="38"/>
        <v/>
      </c>
      <c r="D446" s="17" t="str">
        <f t="shared" si="39"/>
        <v/>
      </c>
      <c r="E446" s="17" t="str">
        <f t="shared" si="40"/>
        <v/>
      </c>
      <c r="F446" s="17" t="str">
        <f t="shared" si="41"/>
        <v/>
      </c>
    </row>
    <row r="447" spans="1:6" x14ac:dyDescent="0.2">
      <c r="A447" s="38" t="str">
        <f t="shared" si="36"/>
        <v/>
      </c>
      <c r="B447" s="39" t="str">
        <f t="shared" si="37"/>
        <v/>
      </c>
      <c r="C447" s="40" t="str">
        <f t="shared" si="38"/>
        <v/>
      </c>
      <c r="D447" s="40" t="str">
        <f t="shared" si="39"/>
        <v/>
      </c>
      <c r="E447" s="40" t="str">
        <f t="shared" si="40"/>
        <v/>
      </c>
      <c r="F447" s="40" t="str">
        <f t="shared" si="41"/>
        <v/>
      </c>
    </row>
    <row r="448" spans="1:6" x14ac:dyDescent="0.2">
      <c r="A448" s="15" t="str">
        <f t="shared" si="36"/>
        <v/>
      </c>
      <c r="B448" s="16" t="str">
        <f t="shared" si="37"/>
        <v/>
      </c>
      <c r="C448" s="17" t="str">
        <f t="shared" si="38"/>
        <v/>
      </c>
      <c r="D448" s="17" t="str">
        <f t="shared" si="39"/>
        <v/>
      </c>
      <c r="E448" s="17" t="str">
        <f t="shared" si="40"/>
        <v/>
      </c>
      <c r="F448" s="17" t="str">
        <f t="shared" si="41"/>
        <v/>
      </c>
    </row>
    <row r="449" spans="1:6" x14ac:dyDescent="0.2">
      <c r="A449" s="38" t="str">
        <f t="shared" si="36"/>
        <v/>
      </c>
      <c r="B449" s="39" t="str">
        <f t="shared" si="37"/>
        <v/>
      </c>
      <c r="C449" s="40" t="str">
        <f t="shared" si="38"/>
        <v/>
      </c>
      <c r="D449" s="40" t="str">
        <f t="shared" si="39"/>
        <v/>
      </c>
      <c r="E449" s="40" t="str">
        <f t="shared" si="40"/>
        <v/>
      </c>
      <c r="F449" s="40" t="str">
        <f t="shared" si="41"/>
        <v/>
      </c>
    </row>
    <row r="450" spans="1:6" x14ac:dyDescent="0.2">
      <c r="A450" s="15" t="str">
        <f t="shared" si="36"/>
        <v/>
      </c>
      <c r="B450" s="16" t="str">
        <f t="shared" si="37"/>
        <v/>
      </c>
      <c r="C450" s="17" t="str">
        <f t="shared" si="38"/>
        <v/>
      </c>
      <c r="D450" s="17" t="str">
        <f t="shared" si="39"/>
        <v/>
      </c>
      <c r="E450" s="17" t="str">
        <f t="shared" si="40"/>
        <v/>
      </c>
      <c r="F450" s="17" t="str">
        <f t="shared" si="41"/>
        <v/>
      </c>
    </row>
    <row r="451" spans="1:6" x14ac:dyDescent="0.2">
      <c r="A451" s="38" t="str">
        <f t="shared" si="36"/>
        <v/>
      </c>
      <c r="B451" s="39" t="str">
        <f t="shared" si="37"/>
        <v/>
      </c>
      <c r="C451" s="40" t="str">
        <f t="shared" si="38"/>
        <v/>
      </c>
      <c r="D451" s="40" t="str">
        <f t="shared" si="39"/>
        <v/>
      </c>
      <c r="E451" s="40" t="str">
        <f t="shared" si="40"/>
        <v/>
      </c>
      <c r="F451" s="40" t="str">
        <f t="shared" si="41"/>
        <v/>
      </c>
    </row>
    <row r="452" spans="1:6" x14ac:dyDescent="0.2">
      <c r="A452" s="15" t="str">
        <f t="shared" si="36"/>
        <v/>
      </c>
      <c r="B452" s="16" t="str">
        <f t="shared" si="37"/>
        <v/>
      </c>
      <c r="C452" s="17" t="str">
        <f t="shared" si="38"/>
        <v/>
      </c>
      <c r="D452" s="17" t="str">
        <f t="shared" si="39"/>
        <v/>
      </c>
      <c r="E452" s="17" t="str">
        <f t="shared" si="40"/>
        <v/>
      </c>
      <c r="F452" s="17" t="str">
        <f t="shared" si="41"/>
        <v/>
      </c>
    </row>
    <row r="453" spans="1:6" x14ac:dyDescent="0.2">
      <c r="A453" s="38" t="str">
        <f t="shared" si="36"/>
        <v/>
      </c>
      <c r="B453" s="39" t="str">
        <f t="shared" si="37"/>
        <v/>
      </c>
      <c r="C453" s="40" t="str">
        <f t="shared" si="38"/>
        <v/>
      </c>
      <c r="D453" s="40" t="str">
        <f t="shared" si="39"/>
        <v/>
      </c>
      <c r="E453" s="40" t="str">
        <f t="shared" si="40"/>
        <v/>
      </c>
      <c r="F453" s="40" t="str">
        <f t="shared" si="41"/>
        <v/>
      </c>
    </row>
    <row r="454" spans="1:6" x14ac:dyDescent="0.2">
      <c r="A454" s="15" t="str">
        <f t="shared" si="36"/>
        <v/>
      </c>
      <c r="B454" s="16" t="str">
        <f t="shared" si="37"/>
        <v/>
      </c>
      <c r="C454" s="17" t="str">
        <f t="shared" si="38"/>
        <v/>
      </c>
      <c r="D454" s="17" t="str">
        <f t="shared" si="39"/>
        <v/>
      </c>
      <c r="E454" s="17" t="str">
        <f t="shared" si="40"/>
        <v/>
      </c>
      <c r="F454" s="17" t="str">
        <f t="shared" si="41"/>
        <v/>
      </c>
    </row>
    <row r="455" spans="1:6" x14ac:dyDescent="0.2">
      <c r="A455" s="38" t="str">
        <f t="shared" si="36"/>
        <v/>
      </c>
      <c r="B455" s="39" t="str">
        <f t="shared" si="37"/>
        <v/>
      </c>
      <c r="C455" s="40" t="str">
        <f t="shared" si="38"/>
        <v/>
      </c>
      <c r="D455" s="40" t="str">
        <f t="shared" si="39"/>
        <v/>
      </c>
      <c r="E455" s="40" t="str">
        <f t="shared" si="40"/>
        <v/>
      </c>
      <c r="F455" s="40" t="str">
        <f t="shared" si="41"/>
        <v/>
      </c>
    </row>
    <row r="456" spans="1:6" x14ac:dyDescent="0.2">
      <c r="A456" s="15" t="str">
        <f t="shared" si="36"/>
        <v/>
      </c>
      <c r="B456" s="16" t="str">
        <f t="shared" si="37"/>
        <v/>
      </c>
      <c r="C456" s="17" t="str">
        <f t="shared" si="38"/>
        <v/>
      </c>
      <c r="D456" s="17" t="str">
        <f t="shared" si="39"/>
        <v/>
      </c>
      <c r="E456" s="17" t="str">
        <f t="shared" si="40"/>
        <v/>
      </c>
      <c r="F456" s="17" t="str">
        <f t="shared" si="41"/>
        <v/>
      </c>
    </row>
    <row r="457" spans="1:6" x14ac:dyDescent="0.2">
      <c r="A457" s="38" t="str">
        <f t="shared" si="36"/>
        <v/>
      </c>
      <c r="B457" s="39" t="str">
        <f t="shared" si="37"/>
        <v/>
      </c>
      <c r="C457" s="40" t="str">
        <f t="shared" si="38"/>
        <v/>
      </c>
      <c r="D457" s="40" t="str">
        <f t="shared" si="39"/>
        <v/>
      </c>
      <c r="E457" s="40" t="str">
        <f t="shared" si="40"/>
        <v/>
      </c>
      <c r="F457" s="40" t="str">
        <f t="shared" si="41"/>
        <v/>
      </c>
    </row>
    <row r="458" spans="1:6" x14ac:dyDescent="0.2">
      <c r="A458" s="15" t="str">
        <f t="shared" si="36"/>
        <v/>
      </c>
      <c r="B458" s="16" t="str">
        <f t="shared" si="37"/>
        <v/>
      </c>
      <c r="C458" s="17" t="str">
        <f t="shared" si="38"/>
        <v/>
      </c>
      <c r="D458" s="17" t="str">
        <f t="shared" si="39"/>
        <v/>
      </c>
      <c r="E458" s="17" t="str">
        <f t="shared" si="40"/>
        <v/>
      </c>
      <c r="F458" s="17" t="str">
        <f t="shared" si="41"/>
        <v/>
      </c>
    </row>
    <row r="459" spans="1:6" x14ac:dyDescent="0.2">
      <c r="A459" s="38" t="str">
        <f t="shared" si="36"/>
        <v/>
      </c>
      <c r="B459" s="39" t="str">
        <f t="shared" si="37"/>
        <v/>
      </c>
      <c r="C459" s="40" t="str">
        <f t="shared" si="38"/>
        <v/>
      </c>
      <c r="D459" s="40" t="str">
        <f t="shared" si="39"/>
        <v/>
      </c>
      <c r="E459" s="40" t="str">
        <f t="shared" si="40"/>
        <v/>
      </c>
      <c r="F459" s="40" t="str">
        <f t="shared" si="41"/>
        <v/>
      </c>
    </row>
    <row r="460" spans="1:6" x14ac:dyDescent="0.2">
      <c r="A460" s="15" t="str">
        <f t="shared" si="36"/>
        <v/>
      </c>
      <c r="B460" s="16" t="str">
        <f t="shared" si="37"/>
        <v/>
      </c>
      <c r="C460" s="17" t="str">
        <f t="shared" si="38"/>
        <v/>
      </c>
      <c r="D460" s="17" t="str">
        <f t="shared" si="39"/>
        <v/>
      </c>
      <c r="E460" s="17" t="str">
        <f t="shared" si="40"/>
        <v/>
      </c>
      <c r="F460" s="17" t="str">
        <f t="shared" si="41"/>
        <v/>
      </c>
    </row>
    <row r="461" spans="1:6" x14ac:dyDescent="0.2">
      <c r="A461" s="38" t="str">
        <f t="shared" si="36"/>
        <v/>
      </c>
      <c r="B461" s="39" t="str">
        <f t="shared" si="37"/>
        <v/>
      </c>
      <c r="C461" s="40" t="str">
        <f t="shared" si="38"/>
        <v/>
      </c>
      <c r="D461" s="40" t="str">
        <f t="shared" si="39"/>
        <v/>
      </c>
      <c r="E461" s="40" t="str">
        <f t="shared" si="40"/>
        <v/>
      </c>
      <c r="F461" s="40" t="str">
        <f t="shared" si="41"/>
        <v/>
      </c>
    </row>
    <row r="462" spans="1:6" x14ac:dyDescent="0.2">
      <c r="A462" s="15" t="str">
        <f t="shared" si="36"/>
        <v/>
      </c>
      <c r="B462" s="16" t="str">
        <f t="shared" si="37"/>
        <v/>
      </c>
      <c r="C462" s="17" t="str">
        <f t="shared" si="38"/>
        <v/>
      </c>
      <c r="D462" s="17" t="str">
        <f t="shared" si="39"/>
        <v/>
      </c>
      <c r="E462" s="17" t="str">
        <f t="shared" si="40"/>
        <v/>
      </c>
      <c r="F462" s="17" t="str">
        <f t="shared" si="41"/>
        <v/>
      </c>
    </row>
    <row r="463" spans="1:6" x14ac:dyDescent="0.2">
      <c r="A463" s="38" t="str">
        <f t="shared" ref="A463:A526" si="42">IF(A462&lt;$B$5*12,A462+1,"")</f>
        <v/>
      </c>
      <c r="B463" s="39" t="str">
        <f t="shared" ref="B463:B526" si="43">IF(A463="","",A463/12)</f>
        <v/>
      </c>
      <c r="C463" s="40" t="str">
        <f t="shared" ref="C463:C526" si="44">IF(A463="","",F462)</f>
        <v/>
      </c>
      <c r="D463" s="40" t="str">
        <f t="shared" ref="D463:D526" si="45">IF(A463="","",C463*$B$7/12)</f>
        <v/>
      </c>
      <c r="E463" s="40" t="str">
        <f t="shared" ref="E463:E526" si="46">IF(A463="","",MIN($B$6,C463+D463))</f>
        <v/>
      </c>
      <c r="F463" s="40" t="str">
        <f t="shared" ref="F463:F526" si="47">IF(A463="","",MAX(0,C463+D463-E463))</f>
        <v/>
      </c>
    </row>
    <row r="464" spans="1:6" x14ac:dyDescent="0.2">
      <c r="A464" s="15" t="str">
        <f t="shared" si="42"/>
        <v/>
      </c>
      <c r="B464" s="16" t="str">
        <f t="shared" si="43"/>
        <v/>
      </c>
      <c r="C464" s="17" t="str">
        <f t="shared" si="44"/>
        <v/>
      </c>
      <c r="D464" s="17" t="str">
        <f t="shared" si="45"/>
        <v/>
      </c>
      <c r="E464" s="17" t="str">
        <f t="shared" si="46"/>
        <v/>
      </c>
      <c r="F464" s="17" t="str">
        <f t="shared" si="47"/>
        <v/>
      </c>
    </row>
    <row r="465" spans="1:6" x14ac:dyDescent="0.2">
      <c r="A465" s="38" t="str">
        <f t="shared" si="42"/>
        <v/>
      </c>
      <c r="B465" s="39" t="str">
        <f t="shared" si="43"/>
        <v/>
      </c>
      <c r="C465" s="40" t="str">
        <f t="shared" si="44"/>
        <v/>
      </c>
      <c r="D465" s="40" t="str">
        <f t="shared" si="45"/>
        <v/>
      </c>
      <c r="E465" s="40" t="str">
        <f t="shared" si="46"/>
        <v/>
      </c>
      <c r="F465" s="40" t="str">
        <f t="shared" si="47"/>
        <v/>
      </c>
    </row>
    <row r="466" spans="1:6" x14ac:dyDescent="0.2">
      <c r="A466" s="15" t="str">
        <f t="shared" si="42"/>
        <v/>
      </c>
      <c r="B466" s="16" t="str">
        <f t="shared" si="43"/>
        <v/>
      </c>
      <c r="C466" s="17" t="str">
        <f t="shared" si="44"/>
        <v/>
      </c>
      <c r="D466" s="17" t="str">
        <f t="shared" si="45"/>
        <v/>
      </c>
      <c r="E466" s="17" t="str">
        <f t="shared" si="46"/>
        <v/>
      </c>
      <c r="F466" s="17" t="str">
        <f t="shared" si="47"/>
        <v/>
      </c>
    </row>
    <row r="467" spans="1:6" x14ac:dyDescent="0.2">
      <c r="A467" s="38" t="str">
        <f t="shared" si="42"/>
        <v/>
      </c>
      <c r="B467" s="39" t="str">
        <f t="shared" si="43"/>
        <v/>
      </c>
      <c r="C467" s="40" t="str">
        <f t="shared" si="44"/>
        <v/>
      </c>
      <c r="D467" s="40" t="str">
        <f t="shared" si="45"/>
        <v/>
      </c>
      <c r="E467" s="40" t="str">
        <f t="shared" si="46"/>
        <v/>
      </c>
      <c r="F467" s="40" t="str">
        <f t="shared" si="47"/>
        <v/>
      </c>
    </row>
    <row r="468" spans="1:6" x14ac:dyDescent="0.2">
      <c r="A468" s="15" t="str">
        <f t="shared" si="42"/>
        <v/>
      </c>
      <c r="B468" s="16" t="str">
        <f t="shared" si="43"/>
        <v/>
      </c>
      <c r="C468" s="17" t="str">
        <f t="shared" si="44"/>
        <v/>
      </c>
      <c r="D468" s="17" t="str">
        <f t="shared" si="45"/>
        <v/>
      </c>
      <c r="E468" s="17" t="str">
        <f t="shared" si="46"/>
        <v/>
      </c>
      <c r="F468" s="17" t="str">
        <f t="shared" si="47"/>
        <v/>
      </c>
    </row>
    <row r="469" spans="1:6" x14ac:dyDescent="0.2">
      <c r="A469" s="38" t="str">
        <f t="shared" si="42"/>
        <v/>
      </c>
      <c r="B469" s="39" t="str">
        <f t="shared" si="43"/>
        <v/>
      </c>
      <c r="C469" s="40" t="str">
        <f t="shared" si="44"/>
        <v/>
      </c>
      <c r="D469" s="40" t="str">
        <f t="shared" si="45"/>
        <v/>
      </c>
      <c r="E469" s="40" t="str">
        <f t="shared" si="46"/>
        <v/>
      </c>
      <c r="F469" s="40" t="str">
        <f t="shared" si="47"/>
        <v/>
      </c>
    </row>
    <row r="470" spans="1:6" x14ac:dyDescent="0.2">
      <c r="A470" s="15" t="str">
        <f t="shared" si="42"/>
        <v/>
      </c>
      <c r="B470" s="16" t="str">
        <f t="shared" si="43"/>
        <v/>
      </c>
      <c r="C470" s="17" t="str">
        <f t="shared" si="44"/>
        <v/>
      </c>
      <c r="D470" s="17" t="str">
        <f t="shared" si="45"/>
        <v/>
      </c>
      <c r="E470" s="17" t="str">
        <f t="shared" si="46"/>
        <v/>
      </c>
      <c r="F470" s="17" t="str">
        <f t="shared" si="47"/>
        <v/>
      </c>
    </row>
    <row r="471" spans="1:6" x14ac:dyDescent="0.2">
      <c r="A471" s="38" t="str">
        <f t="shared" si="42"/>
        <v/>
      </c>
      <c r="B471" s="39" t="str">
        <f t="shared" si="43"/>
        <v/>
      </c>
      <c r="C471" s="40" t="str">
        <f t="shared" si="44"/>
        <v/>
      </c>
      <c r="D471" s="40" t="str">
        <f t="shared" si="45"/>
        <v/>
      </c>
      <c r="E471" s="40" t="str">
        <f t="shared" si="46"/>
        <v/>
      </c>
      <c r="F471" s="40" t="str">
        <f t="shared" si="47"/>
        <v/>
      </c>
    </row>
    <row r="472" spans="1:6" x14ac:dyDescent="0.2">
      <c r="A472" s="15" t="str">
        <f t="shared" si="42"/>
        <v/>
      </c>
      <c r="B472" s="16" t="str">
        <f t="shared" si="43"/>
        <v/>
      </c>
      <c r="C472" s="17" t="str">
        <f t="shared" si="44"/>
        <v/>
      </c>
      <c r="D472" s="17" t="str">
        <f t="shared" si="45"/>
        <v/>
      </c>
      <c r="E472" s="17" t="str">
        <f t="shared" si="46"/>
        <v/>
      </c>
      <c r="F472" s="17" t="str">
        <f t="shared" si="47"/>
        <v/>
      </c>
    </row>
    <row r="473" spans="1:6" x14ac:dyDescent="0.2">
      <c r="A473" s="38" t="str">
        <f t="shared" si="42"/>
        <v/>
      </c>
      <c r="B473" s="39" t="str">
        <f t="shared" si="43"/>
        <v/>
      </c>
      <c r="C473" s="40" t="str">
        <f t="shared" si="44"/>
        <v/>
      </c>
      <c r="D473" s="40" t="str">
        <f t="shared" si="45"/>
        <v/>
      </c>
      <c r="E473" s="40" t="str">
        <f t="shared" si="46"/>
        <v/>
      </c>
      <c r="F473" s="40" t="str">
        <f t="shared" si="47"/>
        <v/>
      </c>
    </row>
    <row r="474" spans="1:6" x14ac:dyDescent="0.2">
      <c r="A474" s="15" t="str">
        <f t="shared" si="42"/>
        <v/>
      </c>
      <c r="B474" s="16" t="str">
        <f t="shared" si="43"/>
        <v/>
      </c>
      <c r="C474" s="17" t="str">
        <f t="shared" si="44"/>
        <v/>
      </c>
      <c r="D474" s="17" t="str">
        <f t="shared" si="45"/>
        <v/>
      </c>
      <c r="E474" s="17" t="str">
        <f t="shared" si="46"/>
        <v/>
      </c>
      <c r="F474" s="17" t="str">
        <f t="shared" si="47"/>
        <v/>
      </c>
    </row>
    <row r="475" spans="1:6" x14ac:dyDescent="0.2">
      <c r="A475" s="38" t="str">
        <f t="shared" si="42"/>
        <v/>
      </c>
      <c r="B475" s="39" t="str">
        <f t="shared" si="43"/>
        <v/>
      </c>
      <c r="C475" s="40" t="str">
        <f t="shared" si="44"/>
        <v/>
      </c>
      <c r="D475" s="40" t="str">
        <f t="shared" si="45"/>
        <v/>
      </c>
      <c r="E475" s="40" t="str">
        <f t="shared" si="46"/>
        <v/>
      </c>
      <c r="F475" s="40" t="str">
        <f t="shared" si="47"/>
        <v/>
      </c>
    </row>
    <row r="476" spans="1:6" x14ac:dyDescent="0.2">
      <c r="A476" s="15" t="str">
        <f t="shared" si="42"/>
        <v/>
      </c>
      <c r="B476" s="16" t="str">
        <f t="shared" si="43"/>
        <v/>
      </c>
      <c r="C476" s="17" t="str">
        <f t="shared" si="44"/>
        <v/>
      </c>
      <c r="D476" s="17" t="str">
        <f t="shared" si="45"/>
        <v/>
      </c>
      <c r="E476" s="17" t="str">
        <f t="shared" si="46"/>
        <v/>
      </c>
      <c r="F476" s="17" t="str">
        <f t="shared" si="47"/>
        <v/>
      </c>
    </row>
    <row r="477" spans="1:6" x14ac:dyDescent="0.2">
      <c r="A477" s="38" t="str">
        <f t="shared" si="42"/>
        <v/>
      </c>
      <c r="B477" s="39" t="str">
        <f t="shared" si="43"/>
        <v/>
      </c>
      <c r="C477" s="40" t="str">
        <f t="shared" si="44"/>
        <v/>
      </c>
      <c r="D477" s="40" t="str">
        <f t="shared" si="45"/>
        <v/>
      </c>
      <c r="E477" s="40" t="str">
        <f t="shared" si="46"/>
        <v/>
      </c>
      <c r="F477" s="40" t="str">
        <f t="shared" si="47"/>
        <v/>
      </c>
    </row>
    <row r="478" spans="1:6" x14ac:dyDescent="0.2">
      <c r="A478" s="15" t="str">
        <f t="shared" si="42"/>
        <v/>
      </c>
      <c r="B478" s="16" t="str">
        <f t="shared" si="43"/>
        <v/>
      </c>
      <c r="C478" s="17" t="str">
        <f t="shared" si="44"/>
        <v/>
      </c>
      <c r="D478" s="17" t="str">
        <f t="shared" si="45"/>
        <v/>
      </c>
      <c r="E478" s="17" t="str">
        <f t="shared" si="46"/>
        <v/>
      </c>
      <c r="F478" s="17" t="str">
        <f t="shared" si="47"/>
        <v/>
      </c>
    </row>
    <row r="479" spans="1:6" x14ac:dyDescent="0.2">
      <c r="A479" s="38" t="str">
        <f t="shared" si="42"/>
        <v/>
      </c>
      <c r="B479" s="39" t="str">
        <f t="shared" si="43"/>
        <v/>
      </c>
      <c r="C479" s="40" t="str">
        <f t="shared" si="44"/>
        <v/>
      </c>
      <c r="D479" s="40" t="str">
        <f t="shared" si="45"/>
        <v/>
      </c>
      <c r="E479" s="40" t="str">
        <f t="shared" si="46"/>
        <v/>
      </c>
      <c r="F479" s="40" t="str">
        <f t="shared" si="47"/>
        <v/>
      </c>
    </row>
    <row r="480" spans="1:6" x14ac:dyDescent="0.2">
      <c r="A480" s="15" t="str">
        <f t="shared" si="42"/>
        <v/>
      </c>
      <c r="B480" s="16" t="str">
        <f t="shared" si="43"/>
        <v/>
      </c>
      <c r="C480" s="17" t="str">
        <f t="shared" si="44"/>
        <v/>
      </c>
      <c r="D480" s="17" t="str">
        <f t="shared" si="45"/>
        <v/>
      </c>
      <c r="E480" s="17" t="str">
        <f t="shared" si="46"/>
        <v/>
      </c>
      <c r="F480" s="17" t="str">
        <f t="shared" si="47"/>
        <v/>
      </c>
    </row>
    <row r="481" spans="1:6" x14ac:dyDescent="0.2">
      <c r="A481" s="38" t="str">
        <f t="shared" si="42"/>
        <v/>
      </c>
      <c r="B481" s="39" t="str">
        <f t="shared" si="43"/>
        <v/>
      </c>
      <c r="C481" s="40" t="str">
        <f t="shared" si="44"/>
        <v/>
      </c>
      <c r="D481" s="40" t="str">
        <f t="shared" si="45"/>
        <v/>
      </c>
      <c r="E481" s="40" t="str">
        <f t="shared" si="46"/>
        <v/>
      </c>
      <c r="F481" s="40" t="str">
        <f t="shared" si="47"/>
        <v/>
      </c>
    </row>
    <row r="482" spans="1:6" x14ac:dyDescent="0.2">
      <c r="A482" s="15" t="str">
        <f t="shared" si="42"/>
        <v/>
      </c>
      <c r="B482" s="16" t="str">
        <f t="shared" si="43"/>
        <v/>
      </c>
      <c r="C482" s="17" t="str">
        <f t="shared" si="44"/>
        <v/>
      </c>
      <c r="D482" s="17" t="str">
        <f t="shared" si="45"/>
        <v/>
      </c>
      <c r="E482" s="17" t="str">
        <f t="shared" si="46"/>
        <v/>
      </c>
      <c r="F482" s="17" t="str">
        <f t="shared" si="47"/>
        <v/>
      </c>
    </row>
    <row r="483" spans="1:6" x14ac:dyDescent="0.2">
      <c r="A483" s="38" t="str">
        <f t="shared" si="42"/>
        <v/>
      </c>
      <c r="B483" s="39" t="str">
        <f t="shared" si="43"/>
        <v/>
      </c>
      <c r="C483" s="40" t="str">
        <f t="shared" si="44"/>
        <v/>
      </c>
      <c r="D483" s="40" t="str">
        <f t="shared" si="45"/>
        <v/>
      </c>
      <c r="E483" s="40" t="str">
        <f t="shared" si="46"/>
        <v/>
      </c>
      <c r="F483" s="40" t="str">
        <f t="shared" si="47"/>
        <v/>
      </c>
    </row>
    <row r="484" spans="1:6" x14ac:dyDescent="0.2">
      <c r="A484" s="15" t="str">
        <f t="shared" si="42"/>
        <v/>
      </c>
      <c r="B484" s="16" t="str">
        <f t="shared" si="43"/>
        <v/>
      </c>
      <c r="C484" s="17" t="str">
        <f t="shared" si="44"/>
        <v/>
      </c>
      <c r="D484" s="17" t="str">
        <f t="shared" si="45"/>
        <v/>
      </c>
      <c r="E484" s="17" t="str">
        <f t="shared" si="46"/>
        <v/>
      </c>
      <c r="F484" s="17" t="str">
        <f t="shared" si="47"/>
        <v/>
      </c>
    </row>
    <row r="485" spans="1:6" x14ac:dyDescent="0.2">
      <c r="A485" s="38" t="str">
        <f t="shared" si="42"/>
        <v/>
      </c>
      <c r="B485" s="39" t="str">
        <f t="shared" si="43"/>
        <v/>
      </c>
      <c r="C485" s="40" t="str">
        <f t="shared" si="44"/>
        <v/>
      </c>
      <c r="D485" s="40" t="str">
        <f t="shared" si="45"/>
        <v/>
      </c>
      <c r="E485" s="40" t="str">
        <f t="shared" si="46"/>
        <v/>
      </c>
      <c r="F485" s="40" t="str">
        <f t="shared" si="47"/>
        <v/>
      </c>
    </row>
    <row r="486" spans="1:6" x14ac:dyDescent="0.2">
      <c r="A486" s="15" t="str">
        <f t="shared" si="42"/>
        <v/>
      </c>
      <c r="B486" s="16" t="str">
        <f t="shared" si="43"/>
        <v/>
      </c>
      <c r="C486" s="17" t="str">
        <f t="shared" si="44"/>
        <v/>
      </c>
      <c r="D486" s="17" t="str">
        <f t="shared" si="45"/>
        <v/>
      </c>
      <c r="E486" s="17" t="str">
        <f t="shared" si="46"/>
        <v/>
      </c>
      <c r="F486" s="17" t="str">
        <f t="shared" si="47"/>
        <v/>
      </c>
    </row>
    <row r="487" spans="1:6" x14ac:dyDescent="0.2">
      <c r="A487" s="38" t="str">
        <f t="shared" si="42"/>
        <v/>
      </c>
      <c r="B487" s="39" t="str">
        <f t="shared" si="43"/>
        <v/>
      </c>
      <c r="C487" s="40" t="str">
        <f t="shared" si="44"/>
        <v/>
      </c>
      <c r="D487" s="40" t="str">
        <f t="shared" si="45"/>
        <v/>
      </c>
      <c r="E487" s="40" t="str">
        <f t="shared" si="46"/>
        <v/>
      </c>
      <c r="F487" s="40" t="str">
        <f t="shared" si="47"/>
        <v/>
      </c>
    </row>
    <row r="488" spans="1:6" x14ac:dyDescent="0.2">
      <c r="A488" s="15" t="str">
        <f t="shared" si="42"/>
        <v/>
      </c>
      <c r="B488" s="16" t="str">
        <f t="shared" si="43"/>
        <v/>
      </c>
      <c r="C488" s="17" t="str">
        <f t="shared" si="44"/>
        <v/>
      </c>
      <c r="D488" s="17" t="str">
        <f t="shared" si="45"/>
        <v/>
      </c>
      <c r="E488" s="17" t="str">
        <f t="shared" si="46"/>
        <v/>
      </c>
      <c r="F488" s="17" t="str">
        <f t="shared" si="47"/>
        <v/>
      </c>
    </row>
    <row r="489" spans="1:6" x14ac:dyDescent="0.2">
      <c r="A489" s="38" t="str">
        <f t="shared" si="42"/>
        <v/>
      </c>
      <c r="B489" s="39" t="str">
        <f t="shared" si="43"/>
        <v/>
      </c>
      <c r="C489" s="40" t="str">
        <f t="shared" si="44"/>
        <v/>
      </c>
      <c r="D489" s="40" t="str">
        <f t="shared" si="45"/>
        <v/>
      </c>
      <c r="E489" s="40" t="str">
        <f t="shared" si="46"/>
        <v/>
      </c>
      <c r="F489" s="40" t="str">
        <f t="shared" si="47"/>
        <v/>
      </c>
    </row>
    <row r="490" spans="1:6" x14ac:dyDescent="0.2">
      <c r="A490" s="15" t="str">
        <f t="shared" si="42"/>
        <v/>
      </c>
      <c r="B490" s="16" t="str">
        <f t="shared" si="43"/>
        <v/>
      </c>
      <c r="C490" s="17" t="str">
        <f t="shared" si="44"/>
        <v/>
      </c>
      <c r="D490" s="17" t="str">
        <f t="shared" si="45"/>
        <v/>
      </c>
      <c r="E490" s="17" t="str">
        <f t="shared" si="46"/>
        <v/>
      </c>
      <c r="F490" s="17" t="str">
        <f t="shared" si="47"/>
        <v/>
      </c>
    </row>
    <row r="491" spans="1:6" x14ac:dyDescent="0.2">
      <c r="A491" s="38" t="str">
        <f t="shared" si="42"/>
        <v/>
      </c>
      <c r="B491" s="39" t="str">
        <f t="shared" si="43"/>
        <v/>
      </c>
      <c r="C491" s="40" t="str">
        <f t="shared" si="44"/>
        <v/>
      </c>
      <c r="D491" s="40" t="str">
        <f t="shared" si="45"/>
        <v/>
      </c>
      <c r="E491" s="40" t="str">
        <f t="shared" si="46"/>
        <v/>
      </c>
      <c r="F491" s="40" t="str">
        <f t="shared" si="47"/>
        <v/>
      </c>
    </row>
    <row r="492" spans="1:6" x14ac:dyDescent="0.2">
      <c r="A492" s="15" t="str">
        <f t="shared" si="42"/>
        <v/>
      </c>
      <c r="B492" s="16" t="str">
        <f t="shared" si="43"/>
        <v/>
      </c>
      <c r="C492" s="17" t="str">
        <f t="shared" si="44"/>
        <v/>
      </c>
      <c r="D492" s="17" t="str">
        <f t="shared" si="45"/>
        <v/>
      </c>
      <c r="E492" s="17" t="str">
        <f t="shared" si="46"/>
        <v/>
      </c>
      <c r="F492" s="17" t="str">
        <f t="shared" si="47"/>
        <v/>
      </c>
    </row>
    <row r="493" spans="1:6" x14ac:dyDescent="0.2">
      <c r="A493" s="38" t="str">
        <f t="shared" si="42"/>
        <v/>
      </c>
      <c r="B493" s="39" t="str">
        <f t="shared" si="43"/>
        <v/>
      </c>
      <c r="C493" s="40" t="str">
        <f t="shared" si="44"/>
        <v/>
      </c>
      <c r="D493" s="40" t="str">
        <f t="shared" si="45"/>
        <v/>
      </c>
      <c r="E493" s="40" t="str">
        <f t="shared" si="46"/>
        <v/>
      </c>
      <c r="F493" s="40" t="str">
        <f t="shared" si="47"/>
        <v/>
      </c>
    </row>
    <row r="494" spans="1:6" x14ac:dyDescent="0.2">
      <c r="A494" s="15" t="str">
        <f t="shared" si="42"/>
        <v/>
      </c>
      <c r="B494" s="16" t="str">
        <f t="shared" si="43"/>
        <v/>
      </c>
      <c r="C494" s="17" t="str">
        <f t="shared" si="44"/>
        <v/>
      </c>
      <c r="D494" s="17" t="str">
        <f t="shared" si="45"/>
        <v/>
      </c>
      <c r="E494" s="17" t="str">
        <f t="shared" si="46"/>
        <v/>
      </c>
      <c r="F494" s="17" t="str">
        <f t="shared" si="47"/>
        <v/>
      </c>
    </row>
    <row r="495" spans="1:6" x14ac:dyDescent="0.2">
      <c r="A495" s="38" t="str">
        <f t="shared" si="42"/>
        <v/>
      </c>
      <c r="B495" s="39" t="str">
        <f t="shared" si="43"/>
        <v/>
      </c>
      <c r="C495" s="40" t="str">
        <f t="shared" si="44"/>
        <v/>
      </c>
      <c r="D495" s="40" t="str">
        <f t="shared" si="45"/>
        <v/>
      </c>
      <c r="E495" s="40" t="str">
        <f t="shared" si="46"/>
        <v/>
      </c>
      <c r="F495" s="40" t="str">
        <f t="shared" si="47"/>
        <v/>
      </c>
    </row>
    <row r="496" spans="1:6" x14ac:dyDescent="0.2">
      <c r="A496" s="15" t="str">
        <f t="shared" si="42"/>
        <v/>
      </c>
      <c r="B496" s="16" t="str">
        <f t="shared" si="43"/>
        <v/>
      </c>
      <c r="C496" s="17" t="str">
        <f t="shared" si="44"/>
        <v/>
      </c>
      <c r="D496" s="17" t="str">
        <f t="shared" si="45"/>
        <v/>
      </c>
      <c r="E496" s="17" t="str">
        <f t="shared" si="46"/>
        <v/>
      </c>
      <c r="F496" s="17" t="str">
        <f t="shared" si="47"/>
        <v/>
      </c>
    </row>
    <row r="497" spans="1:6" x14ac:dyDescent="0.2">
      <c r="A497" s="38" t="str">
        <f t="shared" si="42"/>
        <v/>
      </c>
      <c r="B497" s="39" t="str">
        <f t="shared" si="43"/>
        <v/>
      </c>
      <c r="C497" s="40" t="str">
        <f t="shared" si="44"/>
        <v/>
      </c>
      <c r="D497" s="40" t="str">
        <f t="shared" si="45"/>
        <v/>
      </c>
      <c r="E497" s="40" t="str">
        <f t="shared" si="46"/>
        <v/>
      </c>
      <c r="F497" s="40" t="str">
        <f t="shared" si="47"/>
        <v/>
      </c>
    </row>
    <row r="498" spans="1:6" x14ac:dyDescent="0.2">
      <c r="A498" s="15" t="str">
        <f t="shared" si="42"/>
        <v/>
      </c>
      <c r="B498" s="16" t="str">
        <f t="shared" si="43"/>
        <v/>
      </c>
      <c r="C498" s="17" t="str">
        <f t="shared" si="44"/>
        <v/>
      </c>
      <c r="D498" s="17" t="str">
        <f t="shared" si="45"/>
        <v/>
      </c>
      <c r="E498" s="17" t="str">
        <f t="shared" si="46"/>
        <v/>
      </c>
      <c r="F498" s="17" t="str">
        <f t="shared" si="47"/>
        <v/>
      </c>
    </row>
    <row r="499" spans="1:6" x14ac:dyDescent="0.2">
      <c r="A499" s="38" t="str">
        <f t="shared" si="42"/>
        <v/>
      </c>
      <c r="B499" s="39" t="str">
        <f t="shared" si="43"/>
        <v/>
      </c>
      <c r="C499" s="40" t="str">
        <f t="shared" si="44"/>
        <v/>
      </c>
      <c r="D499" s="40" t="str">
        <f t="shared" si="45"/>
        <v/>
      </c>
      <c r="E499" s="40" t="str">
        <f t="shared" si="46"/>
        <v/>
      </c>
      <c r="F499" s="40" t="str">
        <f t="shared" si="47"/>
        <v/>
      </c>
    </row>
    <row r="500" spans="1:6" x14ac:dyDescent="0.2">
      <c r="A500" s="15" t="str">
        <f t="shared" si="42"/>
        <v/>
      </c>
      <c r="B500" s="16" t="str">
        <f t="shared" si="43"/>
        <v/>
      </c>
      <c r="C500" s="17" t="str">
        <f t="shared" si="44"/>
        <v/>
      </c>
      <c r="D500" s="17" t="str">
        <f t="shared" si="45"/>
        <v/>
      </c>
      <c r="E500" s="17" t="str">
        <f t="shared" si="46"/>
        <v/>
      </c>
      <c r="F500" s="17" t="str">
        <f t="shared" si="47"/>
        <v/>
      </c>
    </row>
    <row r="501" spans="1:6" x14ac:dyDescent="0.2">
      <c r="A501" s="38" t="str">
        <f t="shared" si="42"/>
        <v/>
      </c>
      <c r="B501" s="39" t="str">
        <f t="shared" si="43"/>
        <v/>
      </c>
      <c r="C501" s="40" t="str">
        <f t="shared" si="44"/>
        <v/>
      </c>
      <c r="D501" s="40" t="str">
        <f t="shared" si="45"/>
        <v/>
      </c>
      <c r="E501" s="40" t="str">
        <f t="shared" si="46"/>
        <v/>
      </c>
      <c r="F501" s="40" t="str">
        <f t="shared" si="47"/>
        <v/>
      </c>
    </row>
    <row r="502" spans="1:6" x14ac:dyDescent="0.2">
      <c r="A502" s="15" t="str">
        <f t="shared" si="42"/>
        <v/>
      </c>
      <c r="B502" s="16" t="str">
        <f t="shared" si="43"/>
        <v/>
      </c>
      <c r="C502" s="17" t="str">
        <f t="shared" si="44"/>
        <v/>
      </c>
      <c r="D502" s="17" t="str">
        <f t="shared" si="45"/>
        <v/>
      </c>
      <c r="E502" s="17" t="str">
        <f t="shared" si="46"/>
        <v/>
      </c>
      <c r="F502" s="17" t="str">
        <f t="shared" si="47"/>
        <v/>
      </c>
    </row>
    <row r="503" spans="1:6" x14ac:dyDescent="0.2">
      <c r="A503" s="38" t="str">
        <f t="shared" si="42"/>
        <v/>
      </c>
      <c r="B503" s="39" t="str">
        <f t="shared" si="43"/>
        <v/>
      </c>
      <c r="C503" s="40" t="str">
        <f t="shared" si="44"/>
        <v/>
      </c>
      <c r="D503" s="40" t="str">
        <f t="shared" si="45"/>
        <v/>
      </c>
      <c r="E503" s="40" t="str">
        <f t="shared" si="46"/>
        <v/>
      </c>
      <c r="F503" s="40" t="str">
        <f t="shared" si="47"/>
        <v/>
      </c>
    </row>
    <row r="504" spans="1:6" x14ac:dyDescent="0.2">
      <c r="A504" s="15" t="str">
        <f t="shared" si="42"/>
        <v/>
      </c>
      <c r="B504" s="16" t="str">
        <f t="shared" si="43"/>
        <v/>
      </c>
      <c r="C504" s="17" t="str">
        <f t="shared" si="44"/>
        <v/>
      </c>
      <c r="D504" s="17" t="str">
        <f t="shared" si="45"/>
        <v/>
      </c>
      <c r="E504" s="17" t="str">
        <f t="shared" si="46"/>
        <v/>
      </c>
      <c r="F504" s="17" t="str">
        <f t="shared" si="47"/>
        <v/>
      </c>
    </row>
    <row r="505" spans="1:6" x14ac:dyDescent="0.2">
      <c r="A505" s="38" t="str">
        <f t="shared" si="42"/>
        <v/>
      </c>
      <c r="B505" s="39" t="str">
        <f t="shared" si="43"/>
        <v/>
      </c>
      <c r="C505" s="40" t="str">
        <f t="shared" si="44"/>
        <v/>
      </c>
      <c r="D505" s="40" t="str">
        <f t="shared" si="45"/>
        <v/>
      </c>
      <c r="E505" s="40" t="str">
        <f t="shared" si="46"/>
        <v/>
      </c>
      <c r="F505" s="40" t="str">
        <f t="shared" si="47"/>
        <v/>
      </c>
    </row>
    <row r="506" spans="1:6" x14ac:dyDescent="0.2">
      <c r="A506" s="15" t="str">
        <f t="shared" si="42"/>
        <v/>
      </c>
      <c r="B506" s="16" t="str">
        <f t="shared" si="43"/>
        <v/>
      </c>
      <c r="C506" s="17" t="str">
        <f t="shared" si="44"/>
        <v/>
      </c>
      <c r="D506" s="17" t="str">
        <f t="shared" si="45"/>
        <v/>
      </c>
      <c r="E506" s="17" t="str">
        <f t="shared" si="46"/>
        <v/>
      </c>
      <c r="F506" s="17" t="str">
        <f t="shared" si="47"/>
        <v/>
      </c>
    </row>
    <row r="507" spans="1:6" x14ac:dyDescent="0.2">
      <c r="A507" s="38" t="str">
        <f t="shared" si="42"/>
        <v/>
      </c>
      <c r="B507" s="39" t="str">
        <f t="shared" si="43"/>
        <v/>
      </c>
      <c r="C507" s="40" t="str">
        <f t="shared" si="44"/>
        <v/>
      </c>
      <c r="D507" s="40" t="str">
        <f t="shared" si="45"/>
        <v/>
      </c>
      <c r="E507" s="40" t="str">
        <f t="shared" si="46"/>
        <v/>
      </c>
      <c r="F507" s="40" t="str">
        <f t="shared" si="47"/>
        <v/>
      </c>
    </row>
    <row r="508" spans="1:6" x14ac:dyDescent="0.2">
      <c r="A508" s="15" t="str">
        <f t="shared" si="42"/>
        <v/>
      </c>
      <c r="B508" s="16" t="str">
        <f t="shared" si="43"/>
        <v/>
      </c>
      <c r="C508" s="17" t="str">
        <f t="shared" si="44"/>
        <v/>
      </c>
      <c r="D508" s="17" t="str">
        <f t="shared" si="45"/>
        <v/>
      </c>
      <c r="E508" s="17" t="str">
        <f t="shared" si="46"/>
        <v/>
      </c>
      <c r="F508" s="17" t="str">
        <f t="shared" si="47"/>
        <v/>
      </c>
    </row>
    <row r="509" spans="1:6" x14ac:dyDescent="0.2">
      <c r="A509" s="38" t="str">
        <f t="shared" si="42"/>
        <v/>
      </c>
      <c r="B509" s="39" t="str">
        <f t="shared" si="43"/>
        <v/>
      </c>
      <c r="C509" s="40" t="str">
        <f t="shared" si="44"/>
        <v/>
      </c>
      <c r="D509" s="40" t="str">
        <f t="shared" si="45"/>
        <v/>
      </c>
      <c r="E509" s="40" t="str">
        <f t="shared" si="46"/>
        <v/>
      </c>
      <c r="F509" s="40" t="str">
        <f t="shared" si="47"/>
        <v/>
      </c>
    </row>
    <row r="510" spans="1:6" x14ac:dyDescent="0.2">
      <c r="A510" s="15" t="str">
        <f t="shared" si="42"/>
        <v/>
      </c>
      <c r="B510" s="16" t="str">
        <f t="shared" si="43"/>
        <v/>
      </c>
      <c r="C510" s="17" t="str">
        <f t="shared" si="44"/>
        <v/>
      </c>
      <c r="D510" s="17" t="str">
        <f t="shared" si="45"/>
        <v/>
      </c>
      <c r="E510" s="17" t="str">
        <f t="shared" si="46"/>
        <v/>
      </c>
      <c r="F510" s="17" t="str">
        <f t="shared" si="47"/>
        <v/>
      </c>
    </row>
    <row r="511" spans="1:6" x14ac:dyDescent="0.2">
      <c r="A511" s="38" t="str">
        <f t="shared" si="42"/>
        <v/>
      </c>
      <c r="B511" s="39" t="str">
        <f t="shared" si="43"/>
        <v/>
      </c>
      <c r="C511" s="40" t="str">
        <f t="shared" si="44"/>
        <v/>
      </c>
      <c r="D511" s="40" t="str">
        <f t="shared" si="45"/>
        <v/>
      </c>
      <c r="E511" s="40" t="str">
        <f t="shared" si="46"/>
        <v/>
      </c>
      <c r="F511" s="40" t="str">
        <f t="shared" si="47"/>
        <v/>
      </c>
    </row>
    <row r="512" spans="1:6" x14ac:dyDescent="0.2">
      <c r="A512" s="15" t="str">
        <f t="shared" si="42"/>
        <v/>
      </c>
      <c r="B512" s="16" t="str">
        <f t="shared" si="43"/>
        <v/>
      </c>
      <c r="C512" s="17" t="str">
        <f t="shared" si="44"/>
        <v/>
      </c>
      <c r="D512" s="17" t="str">
        <f t="shared" si="45"/>
        <v/>
      </c>
      <c r="E512" s="17" t="str">
        <f t="shared" si="46"/>
        <v/>
      </c>
      <c r="F512" s="17" t="str">
        <f t="shared" si="47"/>
        <v/>
      </c>
    </row>
    <row r="513" spans="1:6" x14ac:dyDescent="0.2">
      <c r="A513" s="38" t="str">
        <f t="shared" si="42"/>
        <v/>
      </c>
      <c r="B513" s="39" t="str">
        <f t="shared" si="43"/>
        <v/>
      </c>
      <c r="C513" s="40" t="str">
        <f t="shared" si="44"/>
        <v/>
      </c>
      <c r="D513" s="40" t="str">
        <f t="shared" si="45"/>
        <v/>
      </c>
      <c r="E513" s="40" t="str">
        <f t="shared" si="46"/>
        <v/>
      </c>
      <c r="F513" s="40" t="str">
        <f t="shared" si="47"/>
        <v/>
      </c>
    </row>
    <row r="514" spans="1:6" x14ac:dyDescent="0.2">
      <c r="A514" s="15" t="str">
        <f t="shared" si="42"/>
        <v/>
      </c>
      <c r="B514" s="16" t="str">
        <f t="shared" si="43"/>
        <v/>
      </c>
      <c r="C514" s="17" t="str">
        <f t="shared" si="44"/>
        <v/>
      </c>
      <c r="D514" s="17" t="str">
        <f t="shared" si="45"/>
        <v/>
      </c>
      <c r="E514" s="17" t="str">
        <f t="shared" si="46"/>
        <v/>
      </c>
      <c r="F514" s="17" t="str">
        <f t="shared" si="47"/>
        <v/>
      </c>
    </row>
    <row r="515" spans="1:6" x14ac:dyDescent="0.2">
      <c r="A515" s="38" t="str">
        <f t="shared" si="42"/>
        <v/>
      </c>
      <c r="B515" s="39" t="str">
        <f t="shared" si="43"/>
        <v/>
      </c>
      <c r="C515" s="40" t="str">
        <f t="shared" si="44"/>
        <v/>
      </c>
      <c r="D515" s="40" t="str">
        <f t="shared" si="45"/>
        <v/>
      </c>
      <c r="E515" s="40" t="str">
        <f t="shared" si="46"/>
        <v/>
      </c>
      <c r="F515" s="40" t="str">
        <f t="shared" si="47"/>
        <v/>
      </c>
    </row>
    <row r="516" spans="1:6" x14ac:dyDescent="0.2">
      <c r="A516" s="15" t="str">
        <f t="shared" si="42"/>
        <v/>
      </c>
      <c r="B516" s="16" t="str">
        <f t="shared" si="43"/>
        <v/>
      </c>
      <c r="C516" s="17" t="str">
        <f t="shared" si="44"/>
        <v/>
      </c>
      <c r="D516" s="17" t="str">
        <f t="shared" si="45"/>
        <v/>
      </c>
      <c r="E516" s="17" t="str">
        <f t="shared" si="46"/>
        <v/>
      </c>
      <c r="F516" s="17" t="str">
        <f t="shared" si="47"/>
        <v/>
      </c>
    </row>
    <row r="517" spans="1:6" x14ac:dyDescent="0.2">
      <c r="A517" s="38" t="str">
        <f t="shared" si="42"/>
        <v/>
      </c>
      <c r="B517" s="39" t="str">
        <f t="shared" si="43"/>
        <v/>
      </c>
      <c r="C517" s="40" t="str">
        <f t="shared" si="44"/>
        <v/>
      </c>
      <c r="D517" s="40" t="str">
        <f t="shared" si="45"/>
        <v/>
      </c>
      <c r="E517" s="40" t="str">
        <f t="shared" si="46"/>
        <v/>
      </c>
      <c r="F517" s="40" t="str">
        <f t="shared" si="47"/>
        <v/>
      </c>
    </row>
    <row r="518" spans="1:6" x14ac:dyDescent="0.2">
      <c r="A518" s="15" t="str">
        <f t="shared" si="42"/>
        <v/>
      </c>
      <c r="B518" s="16" t="str">
        <f t="shared" si="43"/>
        <v/>
      </c>
      <c r="C518" s="17" t="str">
        <f t="shared" si="44"/>
        <v/>
      </c>
      <c r="D518" s="17" t="str">
        <f t="shared" si="45"/>
        <v/>
      </c>
      <c r="E518" s="17" t="str">
        <f t="shared" si="46"/>
        <v/>
      </c>
      <c r="F518" s="17" t="str">
        <f t="shared" si="47"/>
        <v/>
      </c>
    </row>
    <row r="519" spans="1:6" x14ac:dyDescent="0.2">
      <c r="A519" s="38" t="str">
        <f t="shared" si="42"/>
        <v/>
      </c>
      <c r="B519" s="39" t="str">
        <f t="shared" si="43"/>
        <v/>
      </c>
      <c r="C519" s="40" t="str">
        <f t="shared" si="44"/>
        <v/>
      </c>
      <c r="D519" s="40" t="str">
        <f t="shared" si="45"/>
        <v/>
      </c>
      <c r="E519" s="40" t="str">
        <f t="shared" si="46"/>
        <v/>
      </c>
      <c r="F519" s="40" t="str">
        <f t="shared" si="47"/>
        <v/>
      </c>
    </row>
    <row r="520" spans="1:6" x14ac:dyDescent="0.2">
      <c r="A520" s="15" t="str">
        <f t="shared" si="42"/>
        <v/>
      </c>
      <c r="B520" s="16" t="str">
        <f t="shared" si="43"/>
        <v/>
      </c>
      <c r="C520" s="17" t="str">
        <f t="shared" si="44"/>
        <v/>
      </c>
      <c r="D520" s="17" t="str">
        <f t="shared" si="45"/>
        <v/>
      </c>
      <c r="E520" s="17" t="str">
        <f t="shared" si="46"/>
        <v/>
      </c>
      <c r="F520" s="17" t="str">
        <f t="shared" si="47"/>
        <v/>
      </c>
    </row>
    <row r="521" spans="1:6" x14ac:dyDescent="0.2">
      <c r="A521" s="38" t="str">
        <f t="shared" si="42"/>
        <v/>
      </c>
      <c r="B521" s="39" t="str">
        <f t="shared" si="43"/>
        <v/>
      </c>
      <c r="C521" s="40" t="str">
        <f t="shared" si="44"/>
        <v/>
      </c>
      <c r="D521" s="40" t="str">
        <f t="shared" si="45"/>
        <v/>
      </c>
      <c r="E521" s="40" t="str">
        <f t="shared" si="46"/>
        <v/>
      </c>
      <c r="F521" s="40" t="str">
        <f t="shared" si="47"/>
        <v/>
      </c>
    </row>
    <row r="522" spans="1:6" x14ac:dyDescent="0.2">
      <c r="A522" s="15" t="str">
        <f t="shared" si="42"/>
        <v/>
      </c>
      <c r="B522" s="16" t="str">
        <f t="shared" si="43"/>
        <v/>
      </c>
      <c r="C522" s="17" t="str">
        <f t="shared" si="44"/>
        <v/>
      </c>
      <c r="D522" s="17" t="str">
        <f t="shared" si="45"/>
        <v/>
      </c>
      <c r="E522" s="17" t="str">
        <f t="shared" si="46"/>
        <v/>
      </c>
      <c r="F522" s="17" t="str">
        <f t="shared" si="47"/>
        <v/>
      </c>
    </row>
    <row r="523" spans="1:6" x14ac:dyDescent="0.2">
      <c r="A523" s="38" t="str">
        <f t="shared" si="42"/>
        <v/>
      </c>
      <c r="B523" s="39" t="str">
        <f t="shared" si="43"/>
        <v/>
      </c>
      <c r="C523" s="40" t="str">
        <f t="shared" si="44"/>
        <v/>
      </c>
      <c r="D523" s="40" t="str">
        <f t="shared" si="45"/>
        <v/>
      </c>
      <c r="E523" s="40" t="str">
        <f t="shared" si="46"/>
        <v/>
      </c>
      <c r="F523" s="40" t="str">
        <f t="shared" si="47"/>
        <v/>
      </c>
    </row>
    <row r="524" spans="1:6" x14ac:dyDescent="0.2">
      <c r="A524" s="15" t="str">
        <f t="shared" si="42"/>
        <v/>
      </c>
      <c r="B524" s="16" t="str">
        <f t="shared" si="43"/>
        <v/>
      </c>
      <c r="C524" s="17" t="str">
        <f t="shared" si="44"/>
        <v/>
      </c>
      <c r="D524" s="17" t="str">
        <f t="shared" si="45"/>
        <v/>
      </c>
      <c r="E524" s="17" t="str">
        <f t="shared" si="46"/>
        <v/>
      </c>
      <c r="F524" s="17" t="str">
        <f t="shared" si="47"/>
        <v/>
      </c>
    </row>
    <row r="525" spans="1:6" x14ac:dyDescent="0.2">
      <c r="A525" s="38" t="str">
        <f t="shared" si="42"/>
        <v/>
      </c>
      <c r="B525" s="39" t="str">
        <f t="shared" si="43"/>
        <v/>
      </c>
      <c r="C525" s="40" t="str">
        <f t="shared" si="44"/>
        <v/>
      </c>
      <c r="D525" s="40" t="str">
        <f t="shared" si="45"/>
        <v/>
      </c>
      <c r="E525" s="40" t="str">
        <f t="shared" si="46"/>
        <v/>
      </c>
      <c r="F525" s="40" t="str">
        <f t="shared" si="47"/>
        <v/>
      </c>
    </row>
    <row r="526" spans="1:6" x14ac:dyDescent="0.2">
      <c r="A526" s="15" t="str">
        <f t="shared" si="42"/>
        <v/>
      </c>
      <c r="B526" s="16" t="str">
        <f t="shared" si="43"/>
        <v/>
      </c>
      <c r="C526" s="17" t="str">
        <f t="shared" si="44"/>
        <v/>
      </c>
      <c r="D526" s="17" t="str">
        <f t="shared" si="45"/>
        <v/>
      </c>
      <c r="E526" s="17" t="str">
        <f t="shared" si="46"/>
        <v/>
      </c>
      <c r="F526" s="17" t="str">
        <f t="shared" si="47"/>
        <v/>
      </c>
    </row>
    <row r="527" spans="1:6" x14ac:dyDescent="0.2">
      <c r="A527" s="38" t="str">
        <f t="shared" ref="A527:A590" si="48">IF(A526&lt;$B$5*12,A526+1,"")</f>
        <v/>
      </c>
      <c r="B527" s="39" t="str">
        <f t="shared" ref="B527:B590" si="49">IF(A527="","",A527/12)</f>
        <v/>
      </c>
      <c r="C527" s="40" t="str">
        <f t="shared" ref="C527:C590" si="50">IF(A527="","",F526)</f>
        <v/>
      </c>
      <c r="D527" s="40" t="str">
        <f t="shared" ref="D527:D590" si="51">IF(A527="","",C527*$B$7/12)</f>
        <v/>
      </c>
      <c r="E527" s="40" t="str">
        <f t="shared" ref="E527:E590" si="52">IF(A527="","",MIN($B$6,C527+D527))</f>
        <v/>
      </c>
      <c r="F527" s="40" t="str">
        <f t="shared" ref="F527:F590" si="53">IF(A527="","",MAX(0,C527+D527-E527))</f>
        <v/>
      </c>
    </row>
    <row r="528" spans="1:6" x14ac:dyDescent="0.2">
      <c r="A528" s="15" t="str">
        <f t="shared" si="48"/>
        <v/>
      </c>
      <c r="B528" s="16" t="str">
        <f t="shared" si="49"/>
        <v/>
      </c>
      <c r="C528" s="17" t="str">
        <f t="shared" si="50"/>
        <v/>
      </c>
      <c r="D528" s="17" t="str">
        <f t="shared" si="51"/>
        <v/>
      </c>
      <c r="E528" s="17" t="str">
        <f t="shared" si="52"/>
        <v/>
      </c>
      <c r="F528" s="17" t="str">
        <f t="shared" si="53"/>
        <v/>
      </c>
    </row>
    <row r="529" spans="1:6" x14ac:dyDescent="0.2">
      <c r="A529" s="38" t="str">
        <f t="shared" si="48"/>
        <v/>
      </c>
      <c r="B529" s="39" t="str">
        <f t="shared" si="49"/>
        <v/>
      </c>
      <c r="C529" s="40" t="str">
        <f t="shared" si="50"/>
        <v/>
      </c>
      <c r="D529" s="40" t="str">
        <f t="shared" si="51"/>
        <v/>
      </c>
      <c r="E529" s="40" t="str">
        <f t="shared" si="52"/>
        <v/>
      </c>
      <c r="F529" s="40" t="str">
        <f t="shared" si="53"/>
        <v/>
      </c>
    </row>
    <row r="530" spans="1:6" x14ac:dyDescent="0.2">
      <c r="A530" s="15" t="str">
        <f t="shared" si="48"/>
        <v/>
      </c>
      <c r="B530" s="16" t="str">
        <f t="shared" si="49"/>
        <v/>
      </c>
      <c r="C530" s="17" t="str">
        <f t="shared" si="50"/>
        <v/>
      </c>
      <c r="D530" s="17" t="str">
        <f t="shared" si="51"/>
        <v/>
      </c>
      <c r="E530" s="17" t="str">
        <f t="shared" si="52"/>
        <v/>
      </c>
      <c r="F530" s="17" t="str">
        <f t="shared" si="53"/>
        <v/>
      </c>
    </row>
    <row r="531" spans="1:6" x14ac:dyDescent="0.2">
      <c r="A531" s="38" t="str">
        <f t="shared" si="48"/>
        <v/>
      </c>
      <c r="B531" s="39" t="str">
        <f t="shared" si="49"/>
        <v/>
      </c>
      <c r="C531" s="40" t="str">
        <f t="shared" si="50"/>
        <v/>
      </c>
      <c r="D531" s="40" t="str">
        <f t="shared" si="51"/>
        <v/>
      </c>
      <c r="E531" s="40" t="str">
        <f t="shared" si="52"/>
        <v/>
      </c>
      <c r="F531" s="40" t="str">
        <f t="shared" si="53"/>
        <v/>
      </c>
    </row>
    <row r="532" spans="1:6" x14ac:dyDescent="0.2">
      <c r="A532" s="15" t="str">
        <f t="shared" si="48"/>
        <v/>
      </c>
      <c r="B532" s="16" t="str">
        <f t="shared" si="49"/>
        <v/>
      </c>
      <c r="C532" s="17" t="str">
        <f t="shared" si="50"/>
        <v/>
      </c>
      <c r="D532" s="17" t="str">
        <f t="shared" si="51"/>
        <v/>
      </c>
      <c r="E532" s="17" t="str">
        <f t="shared" si="52"/>
        <v/>
      </c>
      <c r="F532" s="17" t="str">
        <f t="shared" si="53"/>
        <v/>
      </c>
    </row>
    <row r="533" spans="1:6" x14ac:dyDescent="0.2">
      <c r="A533" s="38" t="str">
        <f t="shared" si="48"/>
        <v/>
      </c>
      <c r="B533" s="39" t="str">
        <f t="shared" si="49"/>
        <v/>
      </c>
      <c r="C533" s="40" t="str">
        <f t="shared" si="50"/>
        <v/>
      </c>
      <c r="D533" s="40" t="str">
        <f t="shared" si="51"/>
        <v/>
      </c>
      <c r="E533" s="40" t="str">
        <f t="shared" si="52"/>
        <v/>
      </c>
      <c r="F533" s="40" t="str">
        <f t="shared" si="53"/>
        <v/>
      </c>
    </row>
    <row r="534" spans="1:6" x14ac:dyDescent="0.2">
      <c r="A534" s="15" t="str">
        <f t="shared" si="48"/>
        <v/>
      </c>
      <c r="B534" s="16" t="str">
        <f t="shared" si="49"/>
        <v/>
      </c>
      <c r="C534" s="17" t="str">
        <f t="shared" si="50"/>
        <v/>
      </c>
      <c r="D534" s="17" t="str">
        <f t="shared" si="51"/>
        <v/>
      </c>
      <c r="E534" s="17" t="str">
        <f t="shared" si="52"/>
        <v/>
      </c>
      <c r="F534" s="17" t="str">
        <f t="shared" si="53"/>
        <v/>
      </c>
    </row>
    <row r="535" spans="1:6" x14ac:dyDescent="0.2">
      <c r="A535" s="38" t="str">
        <f t="shared" si="48"/>
        <v/>
      </c>
      <c r="B535" s="39" t="str">
        <f t="shared" si="49"/>
        <v/>
      </c>
      <c r="C535" s="40" t="str">
        <f t="shared" si="50"/>
        <v/>
      </c>
      <c r="D535" s="40" t="str">
        <f t="shared" si="51"/>
        <v/>
      </c>
      <c r="E535" s="40" t="str">
        <f t="shared" si="52"/>
        <v/>
      </c>
      <c r="F535" s="40" t="str">
        <f t="shared" si="53"/>
        <v/>
      </c>
    </row>
    <row r="536" spans="1:6" x14ac:dyDescent="0.2">
      <c r="A536" s="15" t="str">
        <f t="shared" si="48"/>
        <v/>
      </c>
      <c r="B536" s="16" t="str">
        <f t="shared" si="49"/>
        <v/>
      </c>
      <c r="C536" s="17" t="str">
        <f t="shared" si="50"/>
        <v/>
      </c>
      <c r="D536" s="17" t="str">
        <f t="shared" si="51"/>
        <v/>
      </c>
      <c r="E536" s="17" t="str">
        <f t="shared" si="52"/>
        <v/>
      </c>
      <c r="F536" s="17" t="str">
        <f t="shared" si="53"/>
        <v/>
      </c>
    </row>
    <row r="537" spans="1:6" x14ac:dyDescent="0.2">
      <c r="A537" s="38" t="str">
        <f t="shared" si="48"/>
        <v/>
      </c>
      <c r="B537" s="39" t="str">
        <f t="shared" si="49"/>
        <v/>
      </c>
      <c r="C537" s="40" t="str">
        <f t="shared" si="50"/>
        <v/>
      </c>
      <c r="D537" s="40" t="str">
        <f t="shared" si="51"/>
        <v/>
      </c>
      <c r="E537" s="40" t="str">
        <f t="shared" si="52"/>
        <v/>
      </c>
      <c r="F537" s="40" t="str">
        <f t="shared" si="53"/>
        <v/>
      </c>
    </row>
    <row r="538" spans="1:6" x14ac:dyDescent="0.2">
      <c r="A538" s="15" t="str">
        <f t="shared" si="48"/>
        <v/>
      </c>
      <c r="B538" s="16" t="str">
        <f t="shared" si="49"/>
        <v/>
      </c>
      <c r="C538" s="17" t="str">
        <f t="shared" si="50"/>
        <v/>
      </c>
      <c r="D538" s="17" t="str">
        <f t="shared" si="51"/>
        <v/>
      </c>
      <c r="E538" s="17" t="str">
        <f t="shared" si="52"/>
        <v/>
      </c>
      <c r="F538" s="17" t="str">
        <f t="shared" si="53"/>
        <v/>
      </c>
    </row>
    <row r="539" spans="1:6" x14ac:dyDescent="0.2">
      <c r="A539" s="38" t="str">
        <f t="shared" si="48"/>
        <v/>
      </c>
      <c r="B539" s="39" t="str">
        <f t="shared" si="49"/>
        <v/>
      </c>
      <c r="C539" s="40" t="str">
        <f t="shared" si="50"/>
        <v/>
      </c>
      <c r="D539" s="40" t="str">
        <f t="shared" si="51"/>
        <v/>
      </c>
      <c r="E539" s="40" t="str">
        <f t="shared" si="52"/>
        <v/>
      </c>
      <c r="F539" s="40" t="str">
        <f t="shared" si="53"/>
        <v/>
      </c>
    </row>
    <row r="540" spans="1:6" x14ac:dyDescent="0.2">
      <c r="A540" s="15" t="str">
        <f t="shared" si="48"/>
        <v/>
      </c>
      <c r="B540" s="16" t="str">
        <f t="shared" si="49"/>
        <v/>
      </c>
      <c r="C540" s="17" t="str">
        <f t="shared" si="50"/>
        <v/>
      </c>
      <c r="D540" s="17" t="str">
        <f t="shared" si="51"/>
        <v/>
      </c>
      <c r="E540" s="17" t="str">
        <f t="shared" si="52"/>
        <v/>
      </c>
      <c r="F540" s="17" t="str">
        <f t="shared" si="53"/>
        <v/>
      </c>
    </row>
    <row r="541" spans="1:6" x14ac:dyDescent="0.2">
      <c r="A541" s="38" t="str">
        <f t="shared" si="48"/>
        <v/>
      </c>
      <c r="B541" s="39" t="str">
        <f t="shared" si="49"/>
        <v/>
      </c>
      <c r="C541" s="40" t="str">
        <f t="shared" si="50"/>
        <v/>
      </c>
      <c r="D541" s="40" t="str">
        <f t="shared" si="51"/>
        <v/>
      </c>
      <c r="E541" s="40" t="str">
        <f t="shared" si="52"/>
        <v/>
      </c>
      <c r="F541" s="40" t="str">
        <f t="shared" si="53"/>
        <v/>
      </c>
    </row>
    <row r="542" spans="1:6" x14ac:dyDescent="0.2">
      <c r="A542" s="15" t="str">
        <f t="shared" si="48"/>
        <v/>
      </c>
      <c r="B542" s="16" t="str">
        <f t="shared" si="49"/>
        <v/>
      </c>
      <c r="C542" s="17" t="str">
        <f t="shared" si="50"/>
        <v/>
      </c>
      <c r="D542" s="17" t="str">
        <f t="shared" si="51"/>
        <v/>
      </c>
      <c r="E542" s="17" t="str">
        <f t="shared" si="52"/>
        <v/>
      </c>
      <c r="F542" s="17" t="str">
        <f t="shared" si="53"/>
        <v/>
      </c>
    </row>
    <row r="543" spans="1:6" x14ac:dyDescent="0.2">
      <c r="A543" s="38" t="str">
        <f t="shared" si="48"/>
        <v/>
      </c>
      <c r="B543" s="39" t="str">
        <f t="shared" si="49"/>
        <v/>
      </c>
      <c r="C543" s="40" t="str">
        <f t="shared" si="50"/>
        <v/>
      </c>
      <c r="D543" s="40" t="str">
        <f t="shared" si="51"/>
        <v/>
      </c>
      <c r="E543" s="40" t="str">
        <f t="shared" si="52"/>
        <v/>
      </c>
      <c r="F543" s="40" t="str">
        <f t="shared" si="53"/>
        <v/>
      </c>
    </row>
    <row r="544" spans="1:6" x14ac:dyDescent="0.2">
      <c r="A544" s="15" t="str">
        <f t="shared" si="48"/>
        <v/>
      </c>
      <c r="B544" s="16" t="str">
        <f t="shared" si="49"/>
        <v/>
      </c>
      <c r="C544" s="17" t="str">
        <f t="shared" si="50"/>
        <v/>
      </c>
      <c r="D544" s="17" t="str">
        <f t="shared" si="51"/>
        <v/>
      </c>
      <c r="E544" s="17" t="str">
        <f t="shared" si="52"/>
        <v/>
      </c>
      <c r="F544" s="17" t="str">
        <f t="shared" si="53"/>
        <v/>
      </c>
    </row>
    <row r="545" spans="1:6" x14ac:dyDescent="0.2">
      <c r="A545" s="38" t="str">
        <f t="shared" si="48"/>
        <v/>
      </c>
      <c r="B545" s="39" t="str">
        <f t="shared" si="49"/>
        <v/>
      </c>
      <c r="C545" s="40" t="str">
        <f t="shared" si="50"/>
        <v/>
      </c>
      <c r="D545" s="40" t="str">
        <f t="shared" si="51"/>
        <v/>
      </c>
      <c r="E545" s="40" t="str">
        <f t="shared" si="52"/>
        <v/>
      </c>
      <c r="F545" s="40" t="str">
        <f t="shared" si="53"/>
        <v/>
      </c>
    </row>
    <row r="546" spans="1:6" x14ac:dyDescent="0.2">
      <c r="A546" s="15" t="str">
        <f t="shared" si="48"/>
        <v/>
      </c>
      <c r="B546" s="16" t="str">
        <f t="shared" si="49"/>
        <v/>
      </c>
      <c r="C546" s="17" t="str">
        <f t="shared" si="50"/>
        <v/>
      </c>
      <c r="D546" s="17" t="str">
        <f t="shared" si="51"/>
        <v/>
      </c>
      <c r="E546" s="17" t="str">
        <f t="shared" si="52"/>
        <v/>
      </c>
      <c r="F546" s="17" t="str">
        <f t="shared" si="53"/>
        <v/>
      </c>
    </row>
    <row r="547" spans="1:6" x14ac:dyDescent="0.2">
      <c r="A547" s="38" t="str">
        <f t="shared" si="48"/>
        <v/>
      </c>
      <c r="B547" s="39" t="str">
        <f t="shared" si="49"/>
        <v/>
      </c>
      <c r="C547" s="40" t="str">
        <f t="shared" si="50"/>
        <v/>
      </c>
      <c r="D547" s="40" t="str">
        <f t="shared" si="51"/>
        <v/>
      </c>
      <c r="E547" s="40" t="str">
        <f t="shared" si="52"/>
        <v/>
      </c>
      <c r="F547" s="40" t="str">
        <f t="shared" si="53"/>
        <v/>
      </c>
    </row>
    <row r="548" spans="1:6" x14ac:dyDescent="0.2">
      <c r="A548" s="15" t="str">
        <f t="shared" si="48"/>
        <v/>
      </c>
      <c r="B548" s="16" t="str">
        <f t="shared" si="49"/>
        <v/>
      </c>
      <c r="C548" s="17" t="str">
        <f t="shared" si="50"/>
        <v/>
      </c>
      <c r="D548" s="17" t="str">
        <f t="shared" si="51"/>
        <v/>
      </c>
      <c r="E548" s="17" t="str">
        <f t="shared" si="52"/>
        <v/>
      </c>
      <c r="F548" s="17" t="str">
        <f t="shared" si="53"/>
        <v/>
      </c>
    </row>
    <row r="549" spans="1:6" x14ac:dyDescent="0.2">
      <c r="A549" s="38" t="str">
        <f t="shared" si="48"/>
        <v/>
      </c>
      <c r="B549" s="39" t="str">
        <f t="shared" si="49"/>
        <v/>
      </c>
      <c r="C549" s="40" t="str">
        <f t="shared" si="50"/>
        <v/>
      </c>
      <c r="D549" s="40" t="str">
        <f t="shared" si="51"/>
        <v/>
      </c>
      <c r="E549" s="40" t="str">
        <f t="shared" si="52"/>
        <v/>
      </c>
      <c r="F549" s="40" t="str">
        <f t="shared" si="53"/>
        <v/>
      </c>
    </row>
    <row r="550" spans="1:6" x14ac:dyDescent="0.2">
      <c r="A550" s="15" t="str">
        <f t="shared" si="48"/>
        <v/>
      </c>
      <c r="B550" s="16" t="str">
        <f t="shared" si="49"/>
        <v/>
      </c>
      <c r="C550" s="17" t="str">
        <f t="shared" si="50"/>
        <v/>
      </c>
      <c r="D550" s="17" t="str">
        <f t="shared" si="51"/>
        <v/>
      </c>
      <c r="E550" s="17" t="str">
        <f t="shared" si="52"/>
        <v/>
      </c>
      <c r="F550" s="17" t="str">
        <f t="shared" si="53"/>
        <v/>
      </c>
    </row>
    <row r="551" spans="1:6" x14ac:dyDescent="0.2">
      <c r="A551" s="38" t="str">
        <f t="shared" si="48"/>
        <v/>
      </c>
      <c r="B551" s="39" t="str">
        <f t="shared" si="49"/>
        <v/>
      </c>
      <c r="C551" s="40" t="str">
        <f t="shared" si="50"/>
        <v/>
      </c>
      <c r="D551" s="40" t="str">
        <f t="shared" si="51"/>
        <v/>
      </c>
      <c r="E551" s="40" t="str">
        <f t="shared" si="52"/>
        <v/>
      </c>
      <c r="F551" s="40" t="str">
        <f t="shared" si="53"/>
        <v/>
      </c>
    </row>
    <row r="552" spans="1:6" x14ac:dyDescent="0.2">
      <c r="A552" s="15" t="str">
        <f t="shared" si="48"/>
        <v/>
      </c>
      <c r="B552" s="16" t="str">
        <f t="shared" si="49"/>
        <v/>
      </c>
      <c r="C552" s="17" t="str">
        <f t="shared" si="50"/>
        <v/>
      </c>
      <c r="D552" s="17" t="str">
        <f t="shared" si="51"/>
        <v/>
      </c>
      <c r="E552" s="17" t="str">
        <f t="shared" si="52"/>
        <v/>
      </c>
      <c r="F552" s="17" t="str">
        <f t="shared" si="53"/>
        <v/>
      </c>
    </row>
    <row r="553" spans="1:6" x14ac:dyDescent="0.2">
      <c r="A553" s="38" t="str">
        <f t="shared" si="48"/>
        <v/>
      </c>
      <c r="B553" s="39" t="str">
        <f t="shared" si="49"/>
        <v/>
      </c>
      <c r="C553" s="40" t="str">
        <f t="shared" si="50"/>
        <v/>
      </c>
      <c r="D553" s="40" t="str">
        <f t="shared" si="51"/>
        <v/>
      </c>
      <c r="E553" s="40" t="str">
        <f t="shared" si="52"/>
        <v/>
      </c>
      <c r="F553" s="40" t="str">
        <f t="shared" si="53"/>
        <v/>
      </c>
    </row>
    <row r="554" spans="1:6" x14ac:dyDescent="0.2">
      <c r="A554" s="15" t="str">
        <f t="shared" si="48"/>
        <v/>
      </c>
      <c r="B554" s="16" t="str">
        <f t="shared" si="49"/>
        <v/>
      </c>
      <c r="C554" s="17" t="str">
        <f t="shared" si="50"/>
        <v/>
      </c>
      <c r="D554" s="17" t="str">
        <f t="shared" si="51"/>
        <v/>
      </c>
      <c r="E554" s="17" t="str">
        <f t="shared" si="52"/>
        <v/>
      </c>
      <c r="F554" s="17" t="str">
        <f t="shared" si="53"/>
        <v/>
      </c>
    </row>
    <row r="555" spans="1:6" x14ac:dyDescent="0.2">
      <c r="A555" s="38" t="str">
        <f t="shared" si="48"/>
        <v/>
      </c>
      <c r="B555" s="39" t="str">
        <f t="shared" si="49"/>
        <v/>
      </c>
      <c r="C555" s="40" t="str">
        <f t="shared" si="50"/>
        <v/>
      </c>
      <c r="D555" s="40" t="str">
        <f t="shared" si="51"/>
        <v/>
      </c>
      <c r="E555" s="40" t="str">
        <f t="shared" si="52"/>
        <v/>
      </c>
      <c r="F555" s="40" t="str">
        <f t="shared" si="53"/>
        <v/>
      </c>
    </row>
    <row r="556" spans="1:6" x14ac:dyDescent="0.2">
      <c r="A556" s="15" t="str">
        <f t="shared" si="48"/>
        <v/>
      </c>
      <c r="B556" s="16" t="str">
        <f t="shared" si="49"/>
        <v/>
      </c>
      <c r="C556" s="17" t="str">
        <f t="shared" si="50"/>
        <v/>
      </c>
      <c r="D556" s="17" t="str">
        <f t="shared" si="51"/>
        <v/>
      </c>
      <c r="E556" s="17" t="str">
        <f t="shared" si="52"/>
        <v/>
      </c>
      <c r="F556" s="17" t="str">
        <f t="shared" si="53"/>
        <v/>
      </c>
    </row>
    <row r="557" spans="1:6" x14ac:dyDescent="0.2">
      <c r="A557" s="38" t="str">
        <f t="shared" si="48"/>
        <v/>
      </c>
      <c r="B557" s="39" t="str">
        <f t="shared" si="49"/>
        <v/>
      </c>
      <c r="C557" s="40" t="str">
        <f t="shared" si="50"/>
        <v/>
      </c>
      <c r="D557" s="40" t="str">
        <f t="shared" si="51"/>
        <v/>
      </c>
      <c r="E557" s="40" t="str">
        <f t="shared" si="52"/>
        <v/>
      </c>
      <c r="F557" s="40" t="str">
        <f t="shared" si="53"/>
        <v/>
      </c>
    </row>
    <row r="558" spans="1:6" x14ac:dyDescent="0.2">
      <c r="A558" s="15" t="str">
        <f t="shared" si="48"/>
        <v/>
      </c>
      <c r="B558" s="16" t="str">
        <f t="shared" si="49"/>
        <v/>
      </c>
      <c r="C558" s="17" t="str">
        <f t="shared" si="50"/>
        <v/>
      </c>
      <c r="D558" s="17" t="str">
        <f t="shared" si="51"/>
        <v/>
      </c>
      <c r="E558" s="17" t="str">
        <f t="shared" si="52"/>
        <v/>
      </c>
      <c r="F558" s="17" t="str">
        <f t="shared" si="53"/>
        <v/>
      </c>
    </row>
    <row r="559" spans="1:6" x14ac:dyDescent="0.2">
      <c r="A559" s="38" t="str">
        <f t="shared" si="48"/>
        <v/>
      </c>
      <c r="B559" s="39" t="str">
        <f t="shared" si="49"/>
        <v/>
      </c>
      <c r="C559" s="40" t="str">
        <f t="shared" si="50"/>
        <v/>
      </c>
      <c r="D559" s="40" t="str">
        <f t="shared" si="51"/>
        <v/>
      </c>
      <c r="E559" s="40" t="str">
        <f t="shared" si="52"/>
        <v/>
      </c>
      <c r="F559" s="40" t="str">
        <f t="shared" si="53"/>
        <v/>
      </c>
    </row>
    <row r="560" spans="1:6" x14ac:dyDescent="0.2">
      <c r="A560" s="15" t="str">
        <f t="shared" si="48"/>
        <v/>
      </c>
      <c r="B560" s="16" t="str">
        <f t="shared" si="49"/>
        <v/>
      </c>
      <c r="C560" s="17" t="str">
        <f t="shared" si="50"/>
        <v/>
      </c>
      <c r="D560" s="17" t="str">
        <f t="shared" si="51"/>
        <v/>
      </c>
      <c r="E560" s="17" t="str">
        <f t="shared" si="52"/>
        <v/>
      </c>
      <c r="F560" s="17" t="str">
        <f t="shared" si="53"/>
        <v/>
      </c>
    </row>
    <row r="561" spans="1:6" x14ac:dyDescent="0.2">
      <c r="A561" s="38" t="str">
        <f t="shared" si="48"/>
        <v/>
      </c>
      <c r="B561" s="39" t="str">
        <f t="shared" si="49"/>
        <v/>
      </c>
      <c r="C561" s="40" t="str">
        <f t="shared" si="50"/>
        <v/>
      </c>
      <c r="D561" s="40" t="str">
        <f t="shared" si="51"/>
        <v/>
      </c>
      <c r="E561" s="40" t="str">
        <f t="shared" si="52"/>
        <v/>
      </c>
      <c r="F561" s="40" t="str">
        <f t="shared" si="53"/>
        <v/>
      </c>
    </row>
    <row r="562" spans="1:6" x14ac:dyDescent="0.2">
      <c r="A562" s="15" t="str">
        <f t="shared" si="48"/>
        <v/>
      </c>
      <c r="B562" s="16" t="str">
        <f t="shared" si="49"/>
        <v/>
      </c>
      <c r="C562" s="17" t="str">
        <f t="shared" si="50"/>
        <v/>
      </c>
      <c r="D562" s="17" t="str">
        <f t="shared" si="51"/>
        <v/>
      </c>
      <c r="E562" s="17" t="str">
        <f t="shared" si="52"/>
        <v/>
      </c>
      <c r="F562" s="17" t="str">
        <f t="shared" si="53"/>
        <v/>
      </c>
    </row>
    <row r="563" spans="1:6" x14ac:dyDescent="0.2">
      <c r="A563" s="38" t="str">
        <f t="shared" si="48"/>
        <v/>
      </c>
      <c r="B563" s="39" t="str">
        <f t="shared" si="49"/>
        <v/>
      </c>
      <c r="C563" s="40" t="str">
        <f t="shared" si="50"/>
        <v/>
      </c>
      <c r="D563" s="40" t="str">
        <f t="shared" si="51"/>
        <v/>
      </c>
      <c r="E563" s="40" t="str">
        <f t="shared" si="52"/>
        <v/>
      </c>
      <c r="F563" s="40" t="str">
        <f t="shared" si="53"/>
        <v/>
      </c>
    </row>
    <row r="564" spans="1:6" x14ac:dyDescent="0.2">
      <c r="A564" s="15" t="str">
        <f t="shared" si="48"/>
        <v/>
      </c>
      <c r="B564" s="16" t="str">
        <f t="shared" si="49"/>
        <v/>
      </c>
      <c r="C564" s="17" t="str">
        <f t="shared" si="50"/>
        <v/>
      </c>
      <c r="D564" s="17" t="str">
        <f t="shared" si="51"/>
        <v/>
      </c>
      <c r="E564" s="17" t="str">
        <f t="shared" si="52"/>
        <v/>
      </c>
      <c r="F564" s="17" t="str">
        <f t="shared" si="53"/>
        <v/>
      </c>
    </row>
    <row r="565" spans="1:6" x14ac:dyDescent="0.2">
      <c r="A565" s="38" t="str">
        <f t="shared" si="48"/>
        <v/>
      </c>
      <c r="B565" s="39" t="str">
        <f t="shared" si="49"/>
        <v/>
      </c>
      <c r="C565" s="40" t="str">
        <f t="shared" si="50"/>
        <v/>
      </c>
      <c r="D565" s="40" t="str">
        <f t="shared" si="51"/>
        <v/>
      </c>
      <c r="E565" s="40" t="str">
        <f t="shared" si="52"/>
        <v/>
      </c>
      <c r="F565" s="40" t="str">
        <f t="shared" si="53"/>
        <v/>
      </c>
    </row>
    <row r="566" spans="1:6" x14ac:dyDescent="0.2">
      <c r="A566" s="15" t="str">
        <f t="shared" si="48"/>
        <v/>
      </c>
      <c r="B566" s="16" t="str">
        <f t="shared" si="49"/>
        <v/>
      </c>
      <c r="C566" s="17" t="str">
        <f t="shared" si="50"/>
        <v/>
      </c>
      <c r="D566" s="17" t="str">
        <f t="shared" si="51"/>
        <v/>
      </c>
      <c r="E566" s="17" t="str">
        <f t="shared" si="52"/>
        <v/>
      </c>
      <c r="F566" s="17" t="str">
        <f t="shared" si="53"/>
        <v/>
      </c>
    </row>
    <row r="567" spans="1:6" x14ac:dyDescent="0.2">
      <c r="A567" s="38" t="str">
        <f t="shared" si="48"/>
        <v/>
      </c>
      <c r="B567" s="39" t="str">
        <f t="shared" si="49"/>
        <v/>
      </c>
      <c r="C567" s="40" t="str">
        <f t="shared" si="50"/>
        <v/>
      </c>
      <c r="D567" s="40" t="str">
        <f t="shared" si="51"/>
        <v/>
      </c>
      <c r="E567" s="40" t="str">
        <f t="shared" si="52"/>
        <v/>
      </c>
      <c r="F567" s="40" t="str">
        <f t="shared" si="53"/>
        <v/>
      </c>
    </row>
    <row r="568" spans="1:6" x14ac:dyDescent="0.2">
      <c r="A568" s="15" t="str">
        <f t="shared" si="48"/>
        <v/>
      </c>
      <c r="B568" s="16" t="str">
        <f t="shared" si="49"/>
        <v/>
      </c>
      <c r="C568" s="17" t="str">
        <f t="shared" si="50"/>
        <v/>
      </c>
      <c r="D568" s="17" t="str">
        <f t="shared" si="51"/>
        <v/>
      </c>
      <c r="E568" s="17" t="str">
        <f t="shared" si="52"/>
        <v/>
      </c>
      <c r="F568" s="17" t="str">
        <f t="shared" si="53"/>
        <v/>
      </c>
    </row>
    <row r="569" spans="1:6" x14ac:dyDescent="0.2">
      <c r="A569" s="38" t="str">
        <f t="shared" si="48"/>
        <v/>
      </c>
      <c r="B569" s="39" t="str">
        <f t="shared" si="49"/>
        <v/>
      </c>
      <c r="C569" s="40" t="str">
        <f t="shared" si="50"/>
        <v/>
      </c>
      <c r="D569" s="40" t="str">
        <f t="shared" si="51"/>
        <v/>
      </c>
      <c r="E569" s="40" t="str">
        <f t="shared" si="52"/>
        <v/>
      </c>
      <c r="F569" s="40" t="str">
        <f t="shared" si="53"/>
        <v/>
      </c>
    </row>
    <row r="570" spans="1:6" x14ac:dyDescent="0.2">
      <c r="A570" s="15" t="str">
        <f t="shared" si="48"/>
        <v/>
      </c>
      <c r="B570" s="16" t="str">
        <f t="shared" si="49"/>
        <v/>
      </c>
      <c r="C570" s="17" t="str">
        <f t="shared" si="50"/>
        <v/>
      </c>
      <c r="D570" s="17" t="str">
        <f t="shared" si="51"/>
        <v/>
      </c>
      <c r="E570" s="17" t="str">
        <f t="shared" si="52"/>
        <v/>
      </c>
      <c r="F570" s="17" t="str">
        <f t="shared" si="53"/>
        <v/>
      </c>
    </row>
    <row r="571" spans="1:6" x14ac:dyDescent="0.2">
      <c r="A571" s="38" t="str">
        <f t="shared" si="48"/>
        <v/>
      </c>
      <c r="B571" s="39" t="str">
        <f t="shared" si="49"/>
        <v/>
      </c>
      <c r="C571" s="40" t="str">
        <f t="shared" si="50"/>
        <v/>
      </c>
      <c r="D571" s="40" t="str">
        <f t="shared" si="51"/>
        <v/>
      </c>
      <c r="E571" s="40" t="str">
        <f t="shared" si="52"/>
        <v/>
      </c>
      <c r="F571" s="40" t="str">
        <f t="shared" si="53"/>
        <v/>
      </c>
    </row>
    <row r="572" spans="1:6" x14ac:dyDescent="0.2">
      <c r="A572" s="15" t="str">
        <f t="shared" si="48"/>
        <v/>
      </c>
      <c r="B572" s="16" t="str">
        <f t="shared" si="49"/>
        <v/>
      </c>
      <c r="C572" s="17" t="str">
        <f t="shared" si="50"/>
        <v/>
      </c>
      <c r="D572" s="17" t="str">
        <f t="shared" si="51"/>
        <v/>
      </c>
      <c r="E572" s="17" t="str">
        <f t="shared" si="52"/>
        <v/>
      </c>
      <c r="F572" s="17" t="str">
        <f t="shared" si="53"/>
        <v/>
      </c>
    </row>
    <row r="573" spans="1:6" x14ac:dyDescent="0.2">
      <c r="A573" s="38" t="str">
        <f t="shared" si="48"/>
        <v/>
      </c>
      <c r="B573" s="39" t="str">
        <f t="shared" si="49"/>
        <v/>
      </c>
      <c r="C573" s="40" t="str">
        <f t="shared" si="50"/>
        <v/>
      </c>
      <c r="D573" s="40" t="str">
        <f t="shared" si="51"/>
        <v/>
      </c>
      <c r="E573" s="40" t="str">
        <f t="shared" si="52"/>
        <v/>
      </c>
      <c r="F573" s="40" t="str">
        <f t="shared" si="53"/>
        <v/>
      </c>
    </row>
    <row r="574" spans="1:6" x14ac:dyDescent="0.2">
      <c r="A574" s="15" t="str">
        <f t="shared" si="48"/>
        <v/>
      </c>
      <c r="B574" s="16" t="str">
        <f t="shared" si="49"/>
        <v/>
      </c>
      <c r="C574" s="17" t="str">
        <f t="shared" si="50"/>
        <v/>
      </c>
      <c r="D574" s="17" t="str">
        <f t="shared" si="51"/>
        <v/>
      </c>
      <c r="E574" s="17" t="str">
        <f t="shared" si="52"/>
        <v/>
      </c>
      <c r="F574" s="17" t="str">
        <f t="shared" si="53"/>
        <v/>
      </c>
    </row>
    <row r="575" spans="1:6" x14ac:dyDescent="0.2">
      <c r="A575" s="38" t="str">
        <f t="shared" si="48"/>
        <v/>
      </c>
      <c r="B575" s="39" t="str">
        <f t="shared" si="49"/>
        <v/>
      </c>
      <c r="C575" s="40" t="str">
        <f t="shared" si="50"/>
        <v/>
      </c>
      <c r="D575" s="40" t="str">
        <f t="shared" si="51"/>
        <v/>
      </c>
      <c r="E575" s="40" t="str">
        <f t="shared" si="52"/>
        <v/>
      </c>
      <c r="F575" s="40" t="str">
        <f t="shared" si="53"/>
        <v/>
      </c>
    </row>
    <row r="576" spans="1:6" x14ac:dyDescent="0.2">
      <c r="A576" s="15" t="str">
        <f t="shared" si="48"/>
        <v/>
      </c>
      <c r="B576" s="16" t="str">
        <f t="shared" si="49"/>
        <v/>
      </c>
      <c r="C576" s="17" t="str">
        <f t="shared" si="50"/>
        <v/>
      </c>
      <c r="D576" s="17" t="str">
        <f t="shared" si="51"/>
        <v/>
      </c>
      <c r="E576" s="17" t="str">
        <f t="shared" si="52"/>
        <v/>
      </c>
      <c r="F576" s="17" t="str">
        <f t="shared" si="53"/>
        <v/>
      </c>
    </row>
    <row r="577" spans="1:6" x14ac:dyDescent="0.2">
      <c r="A577" s="38" t="str">
        <f t="shared" si="48"/>
        <v/>
      </c>
      <c r="B577" s="39" t="str">
        <f t="shared" si="49"/>
        <v/>
      </c>
      <c r="C577" s="40" t="str">
        <f t="shared" si="50"/>
        <v/>
      </c>
      <c r="D577" s="40" t="str">
        <f t="shared" si="51"/>
        <v/>
      </c>
      <c r="E577" s="40" t="str">
        <f t="shared" si="52"/>
        <v/>
      </c>
      <c r="F577" s="40" t="str">
        <f t="shared" si="53"/>
        <v/>
      </c>
    </row>
    <row r="578" spans="1:6" x14ac:dyDescent="0.2">
      <c r="A578" s="15" t="str">
        <f t="shared" si="48"/>
        <v/>
      </c>
      <c r="B578" s="16" t="str">
        <f t="shared" si="49"/>
        <v/>
      </c>
      <c r="C578" s="17" t="str">
        <f t="shared" si="50"/>
        <v/>
      </c>
      <c r="D578" s="17" t="str">
        <f t="shared" si="51"/>
        <v/>
      </c>
      <c r="E578" s="17" t="str">
        <f t="shared" si="52"/>
        <v/>
      </c>
      <c r="F578" s="17" t="str">
        <f t="shared" si="53"/>
        <v/>
      </c>
    </row>
    <row r="579" spans="1:6" x14ac:dyDescent="0.2">
      <c r="A579" s="38" t="str">
        <f t="shared" si="48"/>
        <v/>
      </c>
      <c r="B579" s="39" t="str">
        <f t="shared" si="49"/>
        <v/>
      </c>
      <c r="C579" s="40" t="str">
        <f t="shared" si="50"/>
        <v/>
      </c>
      <c r="D579" s="40" t="str">
        <f t="shared" si="51"/>
        <v/>
      </c>
      <c r="E579" s="40" t="str">
        <f t="shared" si="52"/>
        <v/>
      </c>
      <c r="F579" s="40" t="str">
        <f t="shared" si="53"/>
        <v/>
      </c>
    </row>
    <row r="580" spans="1:6" x14ac:dyDescent="0.2">
      <c r="A580" s="15" t="str">
        <f t="shared" si="48"/>
        <v/>
      </c>
      <c r="B580" s="16" t="str">
        <f t="shared" si="49"/>
        <v/>
      </c>
      <c r="C580" s="17" t="str">
        <f t="shared" si="50"/>
        <v/>
      </c>
      <c r="D580" s="17" t="str">
        <f t="shared" si="51"/>
        <v/>
      </c>
      <c r="E580" s="17" t="str">
        <f t="shared" si="52"/>
        <v/>
      </c>
      <c r="F580" s="17" t="str">
        <f t="shared" si="53"/>
        <v/>
      </c>
    </row>
    <row r="581" spans="1:6" x14ac:dyDescent="0.2">
      <c r="A581" s="38" t="str">
        <f t="shared" si="48"/>
        <v/>
      </c>
      <c r="B581" s="39" t="str">
        <f t="shared" si="49"/>
        <v/>
      </c>
      <c r="C581" s="40" t="str">
        <f t="shared" si="50"/>
        <v/>
      </c>
      <c r="D581" s="40" t="str">
        <f t="shared" si="51"/>
        <v/>
      </c>
      <c r="E581" s="40" t="str">
        <f t="shared" si="52"/>
        <v/>
      </c>
      <c r="F581" s="40" t="str">
        <f t="shared" si="53"/>
        <v/>
      </c>
    </row>
    <row r="582" spans="1:6" x14ac:dyDescent="0.2">
      <c r="A582" s="15" t="str">
        <f t="shared" si="48"/>
        <v/>
      </c>
      <c r="B582" s="16" t="str">
        <f t="shared" si="49"/>
        <v/>
      </c>
      <c r="C582" s="17" t="str">
        <f t="shared" si="50"/>
        <v/>
      </c>
      <c r="D582" s="17" t="str">
        <f t="shared" si="51"/>
        <v/>
      </c>
      <c r="E582" s="17" t="str">
        <f t="shared" si="52"/>
        <v/>
      </c>
      <c r="F582" s="17" t="str">
        <f t="shared" si="53"/>
        <v/>
      </c>
    </row>
    <row r="583" spans="1:6" x14ac:dyDescent="0.2">
      <c r="A583" s="38" t="str">
        <f t="shared" si="48"/>
        <v/>
      </c>
      <c r="B583" s="39" t="str">
        <f t="shared" si="49"/>
        <v/>
      </c>
      <c r="C583" s="40" t="str">
        <f t="shared" si="50"/>
        <v/>
      </c>
      <c r="D583" s="40" t="str">
        <f t="shared" si="51"/>
        <v/>
      </c>
      <c r="E583" s="40" t="str">
        <f t="shared" si="52"/>
        <v/>
      </c>
      <c r="F583" s="40" t="str">
        <f t="shared" si="53"/>
        <v/>
      </c>
    </row>
    <row r="584" spans="1:6" x14ac:dyDescent="0.2">
      <c r="A584" s="15" t="str">
        <f t="shared" si="48"/>
        <v/>
      </c>
      <c r="B584" s="16" t="str">
        <f t="shared" si="49"/>
        <v/>
      </c>
      <c r="C584" s="17" t="str">
        <f t="shared" si="50"/>
        <v/>
      </c>
      <c r="D584" s="17" t="str">
        <f t="shared" si="51"/>
        <v/>
      </c>
      <c r="E584" s="17" t="str">
        <f t="shared" si="52"/>
        <v/>
      </c>
      <c r="F584" s="17" t="str">
        <f t="shared" si="53"/>
        <v/>
      </c>
    </row>
    <row r="585" spans="1:6" x14ac:dyDescent="0.2">
      <c r="A585" s="38" t="str">
        <f t="shared" si="48"/>
        <v/>
      </c>
      <c r="B585" s="39" t="str">
        <f t="shared" si="49"/>
        <v/>
      </c>
      <c r="C585" s="40" t="str">
        <f t="shared" si="50"/>
        <v/>
      </c>
      <c r="D585" s="40" t="str">
        <f t="shared" si="51"/>
        <v/>
      </c>
      <c r="E585" s="40" t="str">
        <f t="shared" si="52"/>
        <v/>
      </c>
      <c r="F585" s="40" t="str">
        <f t="shared" si="53"/>
        <v/>
      </c>
    </row>
    <row r="586" spans="1:6" x14ac:dyDescent="0.2">
      <c r="A586" s="15" t="str">
        <f t="shared" si="48"/>
        <v/>
      </c>
      <c r="B586" s="16" t="str">
        <f t="shared" si="49"/>
        <v/>
      </c>
      <c r="C586" s="17" t="str">
        <f t="shared" si="50"/>
        <v/>
      </c>
      <c r="D586" s="17" t="str">
        <f t="shared" si="51"/>
        <v/>
      </c>
      <c r="E586" s="17" t="str">
        <f t="shared" si="52"/>
        <v/>
      </c>
      <c r="F586" s="17" t="str">
        <f t="shared" si="53"/>
        <v/>
      </c>
    </row>
    <row r="587" spans="1:6" x14ac:dyDescent="0.2">
      <c r="A587" s="38" t="str">
        <f t="shared" si="48"/>
        <v/>
      </c>
      <c r="B587" s="39" t="str">
        <f t="shared" si="49"/>
        <v/>
      </c>
      <c r="C587" s="40" t="str">
        <f t="shared" si="50"/>
        <v/>
      </c>
      <c r="D587" s="40" t="str">
        <f t="shared" si="51"/>
        <v/>
      </c>
      <c r="E587" s="40" t="str">
        <f t="shared" si="52"/>
        <v/>
      </c>
      <c r="F587" s="40" t="str">
        <f t="shared" si="53"/>
        <v/>
      </c>
    </row>
    <row r="588" spans="1:6" x14ac:dyDescent="0.2">
      <c r="A588" s="15" t="str">
        <f t="shared" si="48"/>
        <v/>
      </c>
      <c r="B588" s="16" t="str">
        <f t="shared" si="49"/>
        <v/>
      </c>
      <c r="C588" s="17" t="str">
        <f t="shared" si="50"/>
        <v/>
      </c>
      <c r="D588" s="17" t="str">
        <f t="shared" si="51"/>
        <v/>
      </c>
      <c r="E588" s="17" t="str">
        <f t="shared" si="52"/>
        <v/>
      </c>
      <c r="F588" s="17" t="str">
        <f t="shared" si="53"/>
        <v/>
      </c>
    </row>
    <row r="589" spans="1:6" x14ac:dyDescent="0.2">
      <c r="A589" s="38" t="str">
        <f t="shared" si="48"/>
        <v/>
      </c>
      <c r="B589" s="39" t="str">
        <f t="shared" si="49"/>
        <v/>
      </c>
      <c r="C589" s="40" t="str">
        <f t="shared" si="50"/>
        <v/>
      </c>
      <c r="D589" s="40" t="str">
        <f t="shared" si="51"/>
        <v/>
      </c>
      <c r="E589" s="40" t="str">
        <f t="shared" si="52"/>
        <v/>
      </c>
      <c r="F589" s="40" t="str">
        <f t="shared" si="53"/>
        <v/>
      </c>
    </row>
    <row r="590" spans="1:6" x14ac:dyDescent="0.2">
      <c r="A590" s="15" t="str">
        <f t="shared" si="48"/>
        <v/>
      </c>
      <c r="B590" s="16" t="str">
        <f t="shared" si="49"/>
        <v/>
      </c>
      <c r="C590" s="17" t="str">
        <f t="shared" si="50"/>
        <v/>
      </c>
      <c r="D590" s="17" t="str">
        <f t="shared" si="51"/>
        <v/>
      </c>
      <c r="E590" s="17" t="str">
        <f t="shared" si="52"/>
        <v/>
      </c>
      <c r="F590" s="17" t="str">
        <f t="shared" si="53"/>
        <v/>
      </c>
    </row>
    <row r="591" spans="1:6" x14ac:dyDescent="0.2">
      <c r="A591" s="38" t="str">
        <f t="shared" ref="A591:A613" si="54">IF(A590&lt;$B$5*12,A590+1,"")</f>
        <v/>
      </c>
      <c r="B591" s="39" t="str">
        <f t="shared" ref="B591:B613" si="55">IF(A591="","",A591/12)</f>
        <v/>
      </c>
      <c r="C591" s="40" t="str">
        <f t="shared" ref="C591:C613" si="56">IF(A591="","",F590)</f>
        <v/>
      </c>
      <c r="D591" s="40" t="str">
        <f t="shared" ref="D591:D613" si="57">IF(A591="","",C591*$B$7/12)</f>
        <v/>
      </c>
      <c r="E591" s="40" t="str">
        <f t="shared" ref="E591:E613" si="58">IF(A591="","",MIN($B$6,C591+D591))</f>
        <v/>
      </c>
      <c r="F591" s="40" t="str">
        <f t="shared" ref="F591:F613" si="59">IF(A591="","",MAX(0,C591+D591-E591))</f>
        <v/>
      </c>
    </row>
    <row r="592" spans="1:6" x14ac:dyDescent="0.2">
      <c r="A592" s="15" t="str">
        <f t="shared" si="54"/>
        <v/>
      </c>
      <c r="B592" s="16" t="str">
        <f t="shared" si="55"/>
        <v/>
      </c>
      <c r="C592" s="17" t="str">
        <f t="shared" si="56"/>
        <v/>
      </c>
      <c r="D592" s="17" t="str">
        <f t="shared" si="57"/>
        <v/>
      </c>
      <c r="E592" s="17" t="str">
        <f t="shared" si="58"/>
        <v/>
      </c>
      <c r="F592" s="17" t="str">
        <f t="shared" si="59"/>
        <v/>
      </c>
    </row>
    <row r="593" spans="1:6" x14ac:dyDescent="0.2">
      <c r="A593" s="38" t="str">
        <f t="shared" si="54"/>
        <v/>
      </c>
      <c r="B593" s="39" t="str">
        <f t="shared" si="55"/>
        <v/>
      </c>
      <c r="C593" s="40" t="str">
        <f t="shared" si="56"/>
        <v/>
      </c>
      <c r="D593" s="40" t="str">
        <f t="shared" si="57"/>
        <v/>
      </c>
      <c r="E593" s="40" t="str">
        <f t="shared" si="58"/>
        <v/>
      </c>
      <c r="F593" s="40" t="str">
        <f t="shared" si="59"/>
        <v/>
      </c>
    </row>
    <row r="594" spans="1:6" x14ac:dyDescent="0.2">
      <c r="A594" s="15" t="str">
        <f t="shared" si="54"/>
        <v/>
      </c>
      <c r="B594" s="16" t="str">
        <f t="shared" si="55"/>
        <v/>
      </c>
      <c r="C594" s="17" t="str">
        <f t="shared" si="56"/>
        <v/>
      </c>
      <c r="D594" s="17" t="str">
        <f t="shared" si="57"/>
        <v/>
      </c>
      <c r="E594" s="17" t="str">
        <f t="shared" si="58"/>
        <v/>
      </c>
      <c r="F594" s="17" t="str">
        <f t="shared" si="59"/>
        <v/>
      </c>
    </row>
    <row r="595" spans="1:6" x14ac:dyDescent="0.2">
      <c r="A595" s="38" t="str">
        <f t="shared" si="54"/>
        <v/>
      </c>
      <c r="B595" s="39" t="str">
        <f t="shared" si="55"/>
        <v/>
      </c>
      <c r="C595" s="40" t="str">
        <f t="shared" si="56"/>
        <v/>
      </c>
      <c r="D595" s="40" t="str">
        <f t="shared" si="57"/>
        <v/>
      </c>
      <c r="E595" s="40" t="str">
        <f t="shared" si="58"/>
        <v/>
      </c>
      <c r="F595" s="40" t="str">
        <f t="shared" si="59"/>
        <v/>
      </c>
    </row>
    <row r="596" spans="1:6" x14ac:dyDescent="0.2">
      <c r="A596" s="15" t="str">
        <f t="shared" si="54"/>
        <v/>
      </c>
      <c r="B596" s="16" t="str">
        <f t="shared" si="55"/>
        <v/>
      </c>
      <c r="C596" s="17" t="str">
        <f t="shared" si="56"/>
        <v/>
      </c>
      <c r="D596" s="17" t="str">
        <f t="shared" si="57"/>
        <v/>
      </c>
      <c r="E596" s="17" t="str">
        <f t="shared" si="58"/>
        <v/>
      </c>
      <c r="F596" s="17" t="str">
        <f t="shared" si="59"/>
        <v/>
      </c>
    </row>
    <row r="597" spans="1:6" x14ac:dyDescent="0.2">
      <c r="A597" s="38" t="str">
        <f t="shared" si="54"/>
        <v/>
      </c>
      <c r="B597" s="39" t="str">
        <f t="shared" si="55"/>
        <v/>
      </c>
      <c r="C597" s="40" t="str">
        <f t="shared" si="56"/>
        <v/>
      </c>
      <c r="D597" s="40" t="str">
        <f t="shared" si="57"/>
        <v/>
      </c>
      <c r="E597" s="40" t="str">
        <f t="shared" si="58"/>
        <v/>
      </c>
      <c r="F597" s="40" t="str">
        <f t="shared" si="59"/>
        <v/>
      </c>
    </row>
    <row r="598" spans="1:6" x14ac:dyDescent="0.2">
      <c r="A598" s="15" t="str">
        <f t="shared" si="54"/>
        <v/>
      </c>
      <c r="B598" s="16" t="str">
        <f t="shared" si="55"/>
        <v/>
      </c>
      <c r="C598" s="17" t="str">
        <f t="shared" si="56"/>
        <v/>
      </c>
      <c r="D598" s="17" t="str">
        <f t="shared" si="57"/>
        <v/>
      </c>
      <c r="E598" s="17" t="str">
        <f t="shared" si="58"/>
        <v/>
      </c>
      <c r="F598" s="17" t="str">
        <f t="shared" si="59"/>
        <v/>
      </c>
    </row>
    <row r="599" spans="1:6" x14ac:dyDescent="0.2">
      <c r="A599" s="38" t="str">
        <f t="shared" si="54"/>
        <v/>
      </c>
      <c r="B599" s="39" t="str">
        <f t="shared" si="55"/>
        <v/>
      </c>
      <c r="C599" s="40" t="str">
        <f t="shared" si="56"/>
        <v/>
      </c>
      <c r="D599" s="40" t="str">
        <f t="shared" si="57"/>
        <v/>
      </c>
      <c r="E599" s="40" t="str">
        <f t="shared" si="58"/>
        <v/>
      </c>
      <c r="F599" s="40" t="str">
        <f t="shared" si="59"/>
        <v/>
      </c>
    </row>
    <row r="600" spans="1:6" x14ac:dyDescent="0.2">
      <c r="A600" s="15" t="str">
        <f t="shared" si="54"/>
        <v/>
      </c>
      <c r="B600" s="16" t="str">
        <f t="shared" si="55"/>
        <v/>
      </c>
      <c r="C600" s="17" t="str">
        <f t="shared" si="56"/>
        <v/>
      </c>
      <c r="D600" s="17" t="str">
        <f t="shared" si="57"/>
        <v/>
      </c>
      <c r="E600" s="17" t="str">
        <f t="shared" si="58"/>
        <v/>
      </c>
      <c r="F600" s="17" t="str">
        <f t="shared" si="59"/>
        <v/>
      </c>
    </row>
    <row r="601" spans="1:6" x14ac:dyDescent="0.2">
      <c r="A601" s="38" t="str">
        <f t="shared" si="54"/>
        <v/>
      </c>
      <c r="B601" s="39" t="str">
        <f t="shared" si="55"/>
        <v/>
      </c>
      <c r="C601" s="40" t="str">
        <f t="shared" si="56"/>
        <v/>
      </c>
      <c r="D601" s="40" t="str">
        <f t="shared" si="57"/>
        <v/>
      </c>
      <c r="E601" s="40" t="str">
        <f t="shared" si="58"/>
        <v/>
      </c>
      <c r="F601" s="40" t="str">
        <f t="shared" si="59"/>
        <v/>
      </c>
    </row>
    <row r="602" spans="1:6" x14ac:dyDescent="0.2">
      <c r="A602" s="15" t="str">
        <f t="shared" si="54"/>
        <v/>
      </c>
      <c r="B602" s="16" t="str">
        <f t="shared" si="55"/>
        <v/>
      </c>
      <c r="C602" s="17" t="str">
        <f t="shared" si="56"/>
        <v/>
      </c>
      <c r="D602" s="17" t="str">
        <f t="shared" si="57"/>
        <v/>
      </c>
      <c r="E602" s="17" t="str">
        <f t="shared" si="58"/>
        <v/>
      </c>
      <c r="F602" s="17" t="str">
        <f t="shared" si="59"/>
        <v/>
      </c>
    </row>
    <row r="603" spans="1:6" x14ac:dyDescent="0.2">
      <c r="A603" s="38" t="str">
        <f t="shared" si="54"/>
        <v/>
      </c>
      <c r="B603" s="39" t="str">
        <f t="shared" si="55"/>
        <v/>
      </c>
      <c r="C603" s="40" t="str">
        <f t="shared" si="56"/>
        <v/>
      </c>
      <c r="D603" s="40" t="str">
        <f t="shared" si="57"/>
        <v/>
      </c>
      <c r="E603" s="40" t="str">
        <f t="shared" si="58"/>
        <v/>
      </c>
      <c r="F603" s="40" t="str">
        <f t="shared" si="59"/>
        <v/>
      </c>
    </row>
    <row r="604" spans="1:6" x14ac:dyDescent="0.2">
      <c r="A604" s="15" t="str">
        <f t="shared" si="54"/>
        <v/>
      </c>
      <c r="B604" s="16" t="str">
        <f t="shared" si="55"/>
        <v/>
      </c>
      <c r="C604" s="17" t="str">
        <f t="shared" si="56"/>
        <v/>
      </c>
      <c r="D604" s="17" t="str">
        <f t="shared" si="57"/>
        <v/>
      </c>
      <c r="E604" s="17" t="str">
        <f t="shared" si="58"/>
        <v/>
      </c>
      <c r="F604" s="17" t="str">
        <f t="shared" si="59"/>
        <v/>
      </c>
    </row>
    <row r="605" spans="1:6" x14ac:dyDescent="0.2">
      <c r="A605" s="38" t="str">
        <f t="shared" si="54"/>
        <v/>
      </c>
      <c r="B605" s="39" t="str">
        <f t="shared" si="55"/>
        <v/>
      </c>
      <c r="C605" s="40" t="str">
        <f t="shared" si="56"/>
        <v/>
      </c>
      <c r="D605" s="40" t="str">
        <f t="shared" si="57"/>
        <v/>
      </c>
      <c r="E605" s="40" t="str">
        <f t="shared" si="58"/>
        <v/>
      </c>
      <c r="F605" s="40" t="str">
        <f t="shared" si="59"/>
        <v/>
      </c>
    </row>
    <row r="606" spans="1:6" x14ac:dyDescent="0.2">
      <c r="A606" s="15" t="str">
        <f t="shared" si="54"/>
        <v/>
      </c>
      <c r="B606" s="16" t="str">
        <f t="shared" si="55"/>
        <v/>
      </c>
      <c r="C606" s="17" t="str">
        <f t="shared" si="56"/>
        <v/>
      </c>
      <c r="D606" s="17" t="str">
        <f t="shared" si="57"/>
        <v/>
      </c>
      <c r="E606" s="17" t="str">
        <f t="shared" si="58"/>
        <v/>
      </c>
      <c r="F606" s="17" t="str">
        <f t="shared" si="59"/>
        <v/>
      </c>
    </row>
    <row r="607" spans="1:6" x14ac:dyDescent="0.2">
      <c r="A607" s="38" t="str">
        <f t="shared" si="54"/>
        <v/>
      </c>
      <c r="B607" s="39" t="str">
        <f t="shared" si="55"/>
        <v/>
      </c>
      <c r="C607" s="40" t="str">
        <f t="shared" si="56"/>
        <v/>
      </c>
      <c r="D607" s="40" t="str">
        <f t="shared" si="57"/>
        <v/>
      </c>
      <c r="E607" s="40" t="str">
        <f t="shared" si="58"/>
        <v/>
      </c>
      <c r="F607" s="40" t="str">
        <f t="shared" si="59"/>
        <v/>
      </c>
    </row>
    <row r="608" spans="1:6" x14ac:dyDescent="0.2">
      <c r="A608" s="15" t="str">
        <f t="shared" si="54"/>
        <v/>
      </c>
      <c r="B608" s="16" t="str">
        <f t="shared" si="55"/>
        <v/>
      </c>
      <c r="C608" s="17" t="str">
        <f t="shared" si="56"/>
        <v/>
      </c>
      <c r="D608" s="17" t="str">
        <f t="shared" si="57"/>
        <v/>
      </c>
      <c r="E608" s="17" t="str">
        <f t="shared" si="58"/>
        <v/>
      </c>
      <c r="F608" s="17" t="str">
        <f t="shared" si="59"/>
        <v/>
      </c>
    </row>
    <row r="609" spans="1:6" x14ac:dyDescent="0.2">
      <c r="A609" s="38" t="str">
        <f t="shared" si="54"/>
        <v/>
      </c>
      <c r="B609" s="39" t="str">
        <f t="shared" si="55"/>
        <v/>
      </c>
      <c r="C609" s="40" t="str">
        <f t="shared" si="56"/>
        <v/>
      </c>
      <c r="D609" s="40" t="str">
        <f t="shared" si="57"/>
        <v/>
      </c>
      <c r="E609" s="40" t="str">
        <f t="shared" si="58"/>
        <v/>
      </c>
      <c r="F609" s="40" t="str">
        <f t="shared" si="59"/>
        <v/>
      </c>
    </row>
    <row r="610" spans="1:6" x14ac:dyDescent="0.2">
      <c r="A610" s="15" t="str">
        <f t="shared" si="54"/>
        <v/>
      </c>
      <c r="B610" s="16" t="str">
        <f t="shared" si="55"/>
        <v/>
      </c>
      <c r="C610" s="17" t="str">
        <f t="shared" si="56"/>
        <v/>
      </c>
      <c r="D610" s="17" t="str">
        <f t="shared" si="57"/>
        <v/>
      </c>
      <c r="E610" s="17" t="str">
        <f t="shared" si="58"/>
        <v/>
      </c>
      <c r="F610" s="17" t="str">
        <f t="shared" si="59"/>
        <v/>
      </c>
    </row>
    <row r="611" spans="1:6" x14ac:dyDescent="0.2">
      <c r="A611" s="38" t="str">
        <f t="shared" si="54"/>
        <v/>
      </c>
      <c r="B611" s="39" t="str">
        <f t="shared" si="55"/>
        <v/>
      </c>
      <c r="C611" s="40" t="str">
        <f t="shared" si="56"/>
        <v/>
      </c>
      <c r="D611" s="40" t="str">
        <f t="shared" si="57"/>
        <v/>
      </c>
      <c r="E611" s="40" t="str">
        <f t="shared" si="58"/>
        <v/>
      </c>
      <c r="F611" s="40" t="str">
        <f t="shared" si="59"/>
        <v/>
      </c>
    </row>
    <row r="612" spans="1:6" x14ac:dyDescent="0.2">
      <c r="A612" s="15" t="str">
        <f t="shared" si="54"/>
        <v/>
      </c>
      <c r="B612" s="16" t="str">
        <f t="shared" si="55"/>
        <v/>
      </c>
      <c r="C612" s="17" t="str">
        <f t="shared" si="56"/>
        <v/>
      </c>
      <c r="D612" s="17" t="str">
        <f t="shared" si="57"/>
        <v/>
      </c>
      <c r="E612" s="17" t="str">
        <f t="shared" si="58"/>
        <v/>
      </c>
      <c r="F612" s="17" t="str">
        <f t="shared" si="59"/>
        <v/>
      </c>
    </row>
    <row r="613" spans="1:6" x14ac:dyDescent="0.2">
      <c r="A613" s="38" t="str">
        <f t="shared" si="54"/>
        <v/>
      </c>
      <c r="B613" s="39" t="str">
        <f t="shared" si="55"/>
        <v/>
      </c>
      <c r="C613" s="40" t="str">
        <f t="shared" si="56"/>
        <v/>
      </c>
      <c r="D613" s="40" t="str">
        <f t="shared" si="57"/>
        <v/>
      </c>
      <c r="E613" s="40" t="str">
        <f t="shared" si="58"/>
        <v/>
      </c>
      <c r="F613" s="40" t="str">
        <f t="shared" si="59"/>
        <v/>
      </c>
    </row>
  </sheetData>
  <mergeCells count="7">
    <mergeCell ref="A11:F11"/>
    <mergeCell ref="A1:F1"/>
    <mergeCell ref="A2:F2"/>
    <mergeCell ref="A4:F4"/>
    <mergeCell ref="D5:F5"/>
    <mergeCell ref="D6:F7"/>
    <mergeCell ref="A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BB9D-1F6D-482A-BA35-02729A1159B9}">
  <sheetPr>
    <tabColor theme="3" tint="0.499984740745262"/>
  </sheetPr>
  <dimension ref="A1:G372"/>
  <sheetViews>
    <sheetView tabSelected="1" workbookViewId="0">
      <selection activeCell="G46" sqref="G46"/>
    </sheetView>
  </sheetViews>
  <sheetFormatPr defaultRowHeight="12.75" x14ac:dyDescent="0.2"/>
  <cols>
    <col min="1" max="1" width="17.28515625" customWidth="1"/>
    <col min="2" max="2" width="13.28515625" customWidth="1"/>
    <col min="3" max="6" width="20" customWidth="1"/>
    <col min="7" max="7" width="21" customWidth="1"/>
  </cols>
  <sheetData>
    <row r="1" spans="1:7" ht="23.25" x14ac:dyDescent="0.35">
      <c r="A1" s="1" t="s">
        <v>17</v>
      </c>
      <c r="B1" s="1"/>
      <c r="C1" s="1"/>
      <c r="D1" s="1"/>
      <c r="E1" s="1"/>
      <c r="F1" s="1"/>
      <c r="G1" s="1"/>
    </row>
    <row r="2" spans="1:7" x14ac:dyDescent="0.2">
      <c r="A2" s="2" t="s">
        <v>18</v>
      </c>
      <c r="B2" s="2"/>
      <c r="C2" s="2"/>
      <c r="D2" s="2"/>
      <c r="E2" s="2"/>
      <c r="F2" s="2"/>
      <c r="G2" s="2"/>
    </row>
    <row r="4" spans="1:7" x14ac:dyDescent="0.2">
      <c r="A4" s="3" t="s">
        <v>2</v>
      </c>
      <c r="B4" s="3"/>
      <c r="C4" s="3"/>
      <c r="D4" s="3"/>
      <c r="E4" s="3"/>
      <c r="F4" s="3"/>
      <c r="G4" s="3"/>
    </row>
    <row r="5" spans="1:7" x14ac:dyDescent="0.2">
      <c r="A5" s="4" t="s">
        <v>19</v>
      </c>
      <c r="B5" s="5">
        <v>622309</v>
      </c>
      <c r="D5" s="11" t="s">
        <v>21</v>
      </c>
      <c r="E5" s="11"/>
      <c r="F5" s="11" t="s">
        <v>22</v>
      </c>
      <c r="G5" s="11"/>
    </row>
    <row r="6" spans="1:7" ht="26.25" x14ac:dyDescent="0.4">
      <c r="A6" s="4" t="s">
        <v>20</v>
      </c>
      <c r="B6" s="5">
        <v>3000</v>
      </c>
      <c r="D6" s="34">
        <f>MATCH(0,F12:F372,0)-1</f>
        <v>241</v>
      </c>
      <c r="E6" s="12"/>
      <c r="F6" s="35">
        <f>D6/12</f>
        <v>20.083333333333332</v>
      </c>
      <c r="G6" s="12"/>
    </row>
    <row r="7" spans="1:7" x14ac:dyDescent="0.2">
      <c r="A7" s="4" t="s">
        <v>5</v>
      </c>
      <c r="B7" s="6">
        <v>1.4999999999999999E-2</v>
      </c>
    </row>
    <row r="9" spans="1:7" x14ac:dyDescent="0.2">
      <c r="A9" s="36" t="str">
        <f>"El capital financia "&amp;D6&amp;" meses. En el último mes se retira únicamente el saldo disponible."</f>
        <v>El capital financia 241 meses. En el último mes se retira únicamente el saldo disponible.</v>
      </c>
      <c r="B9" s="36"/>
      <c r="C9" s="36"/>
      <c r="D9" s="36"/>
      <c r="E9" s="36"/>
      <c r="F9" s="36"/>
      <c r="G9" s="36"/>
    </row>
    <row r="10" spans="1:7" x14ac:dyDescent="0.2">
      <c r="A10" s="3" t="s">
        <v>9</v>
      </c>
      <c r="B10" s="3"/>
      <c r="C10" s="3"/>
      <c r="D10" s="3"/>
      <c r="E10" s="3"/>
      <c r="F10" s="3"/>
      <c r="G10" s="3"/>
    </row>
    <row r="11" spans="1:7" x14ac:dyDescent="0.2">
      <c r="A11" s="14" t="s">
        <v>10</v>
      </c>
      <c r="B11" s="14" t="s">
        <v>11</v>
      </c>
      <c r="C11" s="14" t="s">
        <v>12</v>
      </c>
      <c r="D11" s="14" t="s">
        <v>13</v>
      </c>
      <c r="E11" s="14" t="s">
        <v>23</v>
      </c>
      <c r="F11" s="14" t="s">
        <v>7</v>
      </c>
      <c r="G11" s="14" t="s">
        <v>24</v>
      </c>
    </row>
    <row r="12" spans="1:7" x14ac:dyDescent="0.2">
      <c r="A12" s="38">
        <v>0</v>
      </c>
      <c r="B12" s="39">
        <v>0</v>
      </c>
      <c r="C12" s="40">
        <f>$B$5</f>
        <v>622309</v>
      </c>
      <c r="D12" s="40">
        <v>0</v>
      </c>
      <c r="E12" s="40">
        <v>0</v>
      </c>
      <c r="F12" s="40">
        <f>$B$5</f>
        <v>622309</v>
      </c>
      <c r="G12" s="41" t="s">
        <v>12</v>
      </c>
    </row>
    <row r="13" spans="1:7" x14ac:dyDescent="0.2">
      <c r="A13" s="15">
        <f>A12+1</f>
        <v>1</v>
      </c>
      <c r="B13" s="16">
        <f>A13/12</f>
        <v>8.3333333333333329E-2</v>
      </c>
      <c r="C13" s="17">
        <f>F12</f>
        <v>622309</v>
      </c>
      <c r="D13" s="17">
        <f>IF(C13&gt;0,C13*$B$7/12,0)</f>
        <v>777.88625000000002</v>
      </c>
      <c r="E13" s="17">
        <f>IF(C13&gt;0,MIN($B$6,C13+D13),0)</f>
        <v>3000</v>
      </c>
      <c r="F13" s="17">
        <f>MAX(0,C13+D13-E13)</f>
        <v>620086.88624999998</v>
      </c>
      <c r="G13" s="37" t="str">
        <f>IF(C13=0,"Agotado",IF(F13=0,"Último retiro","Activo"))</f>
        <v>Activo</v>
      </c>
    </row>
    <row r="14" spans="1:7" x14ac:dyDescent="0.2">
      <c r="A14" s="38">
        <f t="shared" ref="A14:A77" si="0">A13+1</f>
        <v>2</v>
      </c>
      <c r="B14" s="39">
        <f t="shared" ref="B14:B77" si="1">A14/12</f>
        <v>0.16666666666666666</v>
      </c>
      <c r="C14" s="40">
        <f t="shared" ref="C14:C77" si="2">F13</f>
        <v>620086.88624999998</v>
      </c>
      <c r="D14" s="40">
        <f t="shared" ref="D14:D77" si="3">IF(C14&gt;0,C14*$B$7/12,0)</f>
        <v>775.10860781249994</v>
      </c>
      <c r="E14" s="40">
        <f t="shared" ref="E14:E77" si="4">IF(C14&gt;0,MIN($B$6,C14+D14),0)</f>
        <v>3000</v>
      </c>
      <c r="F14" s="40">
        <f t="shared" ref="F14:F77" si="5">MAX(0,C14+D14-E14)</f>
        <v>617861.99485781253</v>
      </c>
      <c r="G14" s="41" t="str">
        <f t="shared" ref="G14:G77" si="6">IF(C14=0,"Agotado",IF(F14=0,"Último retiro","Activo"))</f>
        <v>Activo</v>
      </c>
    </row>
    <row r="15" spans="1:7" x14ac:dyDescent="0.2">
      <c r="A15" s="15">
        <f t="shared" si="0"/>
        <v>3</v>
      </c>
      <c r="B15" s="16">
        <f t="shared" si="1"/>
        <v>0.25</v>
      </c>
      <c r="C15" s="17">
        <f t="shared" si="2"/>
        <v>617861.99485781253</v>
      </c>
      <c r="D15" s="17">
        <f t="shared" si="3"/>
        <v>772.32749357226567</v>
      </c>
      <c r="E15" s="17">
        <f t="shared" si="4"/>
        <v>3000</v>
      </c>
      <c r="F15" s="17">
        <f t="shared" si="5"/>
        <v>615634.32235138479</v>
      </c>
      <c r="G15" s="37" t="str">
        <f t="shared" si="6"/>
        <v>Activo</v>
      </c>
    </row>
    <row r="16" spans="1:7" x14ac:dyDescent="0.2">
      <c r="A16" s="38">
        <f t="shared" si="0"/>
        <v>4</v>
      </c>
      <c r="B16" s="39">
        <f t="shared" si="1"/>
        <v>0.33333333333333331</v>
      </c>
      <c r="C16" s="40">
        <f t="shared" si="2"/>
        <v>615634.32235138479</v>
      </c>
      <c r="D16" s="40">
        <f t="shared" si="3"/>
        <v>769.54290293923088</v>
      </c>
      <c r="E16" s="40">
        <f t="shared" si="4"/>
        <v>3000</v>
      </c>
      <c r="F16" s="40">
        <f t="shared" si="5"/>
        <v>613403.86525432405</v>
      </c>
      <c r="G16" s="41" t="str">
        <f t="shared" si="6"/>
        <v>Activo</v>
      </c>
    </row>
    <row r="17" spans="1:7" x14ac:dyDescent="0.2">
      <c r="A17" s="15">
        <f t="shared" si="0"/>
        <v>5</v>
      </c>
      <c r="B17" s="16">
        <f t="shared" si="1"/>
        <v>0.41666666666666669</v>
      </c>
      <c r="C17" s="17">
        <f t="shared" si="2"/>
        <v>613403.86525432405</v>
      </c>
      <c r="D17" s="17">
        <f t="shared" si="3"/>
        <v>766.75483156790506</v>
      </c>
      <c r="E17" s="17">
        <f t="shared" si="4"/>
        <v>3000</v>
      </c>
      <c r="F17" s="17">
        <f t="shared" si="5"/>
        <v>611170.62008589192</v>
      </c>
      <c r="G17" s="37" t="str">
        <f t="shared" si="6"/>
        <v>Activo</v>
      </c>
    </row>
    <row r="18" spans="1:7" x14ac:dyDescent="0.2">
      <c r="A18" s="38">
        <f t="shared" si="0"/>
        <v>6</v>
      </c>
      <c r="B18" s="39">
        <f t="shared" si="1"/>
        <v>0.5</v>
      </c>
      <c r="C18" s="40">
        <f t="shared" si="2"/>
        <v>611170.62008589192</v>
      </c>
      <c r="D18" s="40">
        <f t="shared" si="3"/>
        <v>763.96327510736489</v>
      </c>
      <c r="E18" s="40">
        <f t="shared" si="4"/>
        <v>3000</v>
      </c>
      <c r="F18" s="40">
        <f t="shared" si="5"/>
        <v>608934.58336099924</v>
      </c>
      <c r="G18" s="41" t="str">
        <f t="shared" si="6"/>
        <v>Activo</v>
      </c>
    </row>
    <row r="19" spans="1:7" x14ac:dyDescent="0.2">
      <c r="A19" s="15">
        <f t="shared" si="0"/>
        <v>7</v>
      </c>
      <c r="B19" s="16">
        <f t="shared" si="1"/>
        <v>0.58333333333333337</v>
      </c>
      <c r="C19" s="17">
        <f t="shared" si="2"/>
        <v>608934.58336099924</v>
      </c>
      <c r="D19" s="17">
        <f t="shared" si="3"/>
        <v>761.16822920124912</v>
      </c>
      <c r="E19" s="17">
        <f t="shared" si="4"/>
        <v>3000</v>
      </c>
      <c r="F19" s="17">
        <f t="shared" si="5"/>
        <v>606695.75159020047</v>
      </c>
      <c r="G19" s="37" t="str">
        <f t="shared" si="6"/>
        <v>Activo</v>
      </c>
    </row>
    <row r="20" spans="1:7" x14ac:dyDescent="0.2">
      <c r="A20" s="38">
        <f t="shared" si="0"/>
        <v>8</v>
      </c>
      <c r="B20" s="39">
        <f t="shared" si="1"/>
        <v>0.66666666666666663</v>
      </c>
      <c r="C20" s="40">
        <f t="shared" si="2"/>
        <v>606695.75159020047</v>
      </c>
      <c r="D20" s="40">
        <f t="shared" si="3"/>
        <v>758.36968948775063</v>
      </c>
      <c r="E20" s="40">
        <f t="shared" si="4"/>
        <v>3000</v>
      </c>
      <c r="F20" s="40">
        <f t="shared" si="5"/>
        <v>604454.1212796882</v>
      </c>
      <c r="G20" s="41" t="str">
        <f t="shared" si="6"/>
        <v>Activo</v>
      </c>
    </row>
    <row r="21" spans="1:7" x14ac:dyDescent="0.2">
      <c r="A21" s="15">
        <f t="shared" si="0"/>
        <v>9</v>
      </c>
      <c r="B21" s="16">
        <f t="shared" si="1"/>
        <v>0.75</v>
      </c>
      <c r="C21" s="17">
        <f t="shared" si="2"/>
        <v>604454.1212796882</v>
      </c>
      <c r="D21" s="17">
        <f t="shared" si="3"/>
        <v>755.56765159961026</v>
      </c>
      <c r="E21" s="17">
        <f t="shared" si="4"/>
        <v>3000</v>
      </c>
      <c r="F21" s="17">
        <f t="shared" si="5"/>
        <v>602209.68893128785</v>
      </c>
      <c r="G21" s="37" t="str">
        <f t="shared" si="6"/>
        <v>Activo</v>
      </c>
    </row>
    <row r="22" spans="1:7" x14ac:dyDescent="0.2">
      <c r="A22" s="38">
        <f t="shared" si="0"/>
        <v>10</v>
      </c>
      <c r="B22" s="39">
        <f t="shared" si="1"/>
        <v>0.83333333333333337</v>
      </c>
      <c r="C22" s="40">
        <f t="shared" si="2"/>
        <v>602209.68893128785</v>
      </c>
      <c r="D22" s="40">
        <f t="shared" si="3"/>
        <v>752.7621111641098</v>
      </c>
      <c r="E22" s="40">
        <f t="shared" si="4"/>
        <v>3000</v>
      </c>
      <c r="F22" s="40">
        <f t="shared" si="5"/>
        <v>599962.45104245201</v>
      </c>
      <c r="G22" s="41" t="str">
        <f t="shared" si="6"/>
        <v>Activo</v>
      </c>
    </row>
    <row r="23" spans="1:7" x14ac:dyDescent="0.2">
      <c r="A23" s="15">
        <f t="shared" si="0"/>
        <v>11</v>
      </c>
      <c r="B23" s="16">
        <f t="shared" si="1"/>
        <v>0.91666666666666663</v>
      </c>
      <c r="C23" s="17">
        <f t="shared" si="2"/>
        <v>599962.45104245201</v>
      </c>
      <c r="D23" s="17">
        <f t="shared" si="3"/>
        <v>749.95306380306499</v>
      </c>
      <c r="E23" s="17">
        <f t="shared" si="4"/>
        <v>3000</v>
      </c>
      <c r="F23" s="17">
        <f t="shared" si="5"/>
        <v>597712.40410625504</v>
      </c>
      <c r="G23" s="37" t="str">
        <f t="shared" si="6"/>
        <v>Activo</v>
      </c>
    </row>
    <row r="24" spans="1:7" x14ac:dyDescent="0.2">
      <c r="A24" s="38">
        <f t="shared" si="0"/>
        <v>12</v>
      </c>
      <c r="B24" s="39">
        <f t="shared" si="1"/>
        <v>1</v>
      </c>
      <c r="C24" s="40">
        <f t="shared" si="2"/>
        <v>597712.40410625504</v>
      </c>
      <c r="D24" s="40">
        <f t="shared" si="3"/>
        <v>747.14050513281882</v>
      </c>
      <c r="E24" s="40">
        <f t="shared" si="4"/>
        <v>3000</v>
      </c>
      <c r="F24" s="40">
        <f t="shared" si="5"/>
        <v>595459.54461138789</v>
      </c>
      <c r="G24" s="41" t="str">
        <f t="shared" si="6"/>
        <v>Activo</v>
      </c>
    </row>
    <row r="25" spans="1:7" x14ac:dyDescent="0.2">
      <c r="A25" s="15">
        <f t="shared" si="0"/>
        <v>13</v>
      </c>
      <c r="B25" s="16">
        <f t="shared" si="1"/>
        <v>1.0833333333333333</v>
      </c>
      <c r="C25" s="17">
        <f t="shared" si="2"/>
        <v>595459.54461138789</v>
      </c>
      <c r="D25" s="17">
        <f t="shared" si="3"/>
        <v>744.32443076423488</v>
      </c>
      <c r="E25" s="17">
        <f t="shared" si="4"/>
        <v>3000</v>
      </c>
      <c r="F25" s="17">
        <f t="shared" si="5"/>
        <v>593203.86904215207</v>
      </c>
      <c r="G25" s="37" t="str">
        <f t="shared" si="6"/>
        <v>Activo</v>
      </c>
    </row>
    <row r="26" spans="1:7" x14ac:dyDescent="0.2">
      <c r="A26" s="38">
        <f t="shared" si="0"/>
        <v>14</v>
      </c>
      <c r="B26" s="39">
        <f t="shared" si="1"/>
        <v>1.1666666666666667</v>
      </c>
      <c r="C26" s="40">
        <f t="shared" si="2"/>
        <v>593203.86904215207</v>
      </c>
      <c r="D26" s="40">
        <f t="shared" si="3"/>
        <v>741.50483630269002</v>
      </c>
      <c r="E26" s="40">
        <f t="shared" si="4"/>
        <v>3000</v>
      </c>
      <c r="F26" s="40">
        <f t="shared" si="5"/>
        <v>590945.37387845479</v>
      </c>
      <c r="G26" s="41" t="str">
        <f t="shared" si="6"/>
        <v>Activo</v>
      </c>
    </row>
    <row r="27" spans="1:7" x14ac:dyDescent="0.2">
      <c r="A27" s="15">
        <f t="shared" si="0"/>
        <v>15</v>
      </c>
      <c r="B27" s="16">
        <f t="shared" si="1"/>
        <v>1.25</v>
      </c>
      <c r="C27" s="17">
        <f t="shared" si="2"/>
        <v>590945.37387845479</v>
      </c>
      <c r="D27" s="17">
        <f t="shared" si="3"/>
        <v>738.68171734806845</v>
      </c>
      <c r="E27" s="17">
        <f t="shared" si="4"/>
        <v>3000</v>
      </c>
      <c r="F27" s="17">
        <f t="shared" si="5"/>
        <v>588684.05559580284</v>
      </c>
      <c r="G27" s="37" t="str">
        <f t="shared" si="6"/>
        <v>Activo</v>
      </c>
    </row>
    <row r="28" spans="1:7" x14ac:dyDescent="0.2">
      <c r="A28" s="38">
        <f t="shared" si="0"/>
        <v>16</v>
      </c>
      <c r="B28" s="39">
        <f t="shared" si="1"/>
        <v>1.3333333333333333</v>
      </c>
      <c r="C28" s="40">
        <f t="shared" si="2"/>
        <v>588684.05559580284</v>
      </c>
      <c r="D28" s="40">
        <f t="shared" si="3"/>
        <v>735.85506949475348</v>
      </c>
      <c r="E28" s="40">
        <f t="shared" si="4"/>
        <v>3000</v>
      </c>
      <c r="F28" s="40">
        <f t="shared" si="5"/>
        <v>586419.91066529765</v>
      </c>
      <c r="G28" s="41" t="str">
        <f t="shared" si="6"/>
        <v>Activo</v>
      </c>
    </row>
    <row r="29" spans="1:7" x14ac:dyDescent="0.2">
      <c r="A29" s="15">
        <f t="shared" si="0"/>
        <v>17</v>
      </c>
      <c r="B29" s="16">
        <f t="shared" si="1"/>
        <v>1.4166666666666667</v>
      </c>
      <c r="C29" s="17">
        <f t="shared" si="2"/>
        <v>586419.91066529765</v>
      </c>
      <c r="D29" s="17">
        <f t="shared" si="3"/>
        <v>733.02488833162204</v>
      </c>
      <c r="E29" s="17">
        <f t="shared" si="4"/>
        <v>3000</v>
      </c>
      <c r="F29" s="17">
        <f t="shared" si="5"/>
        <v>584152.9355536293</v>
      </c>
      <c r="G29" s="37" t="str">
        <f t="shared" si="6"/>
        <v>Activo</v>
      </c>
    </row>
    <row r="30" spans="1:7" x14ac:dyDescent="0.2">
      <c r="A30" s="38">
        <f t="shared" si="0"/>
        <v>18</v>
      </c>
      <c r="B30" s="39">
        <f t="shared" si="1"/>
        <v>1.5</v>
      </c>
      <c r="C30" s="40">
        <f t="shared" si="2"/>
        <v>584152.9355536293</v>
      </c>
      <c r="D30" s="40">
        <f t="shared" si="3"/>
        <v>730.19116944203654</v>
      </c>
      <c r="E30" s="40">
        <f t="shared" si="4"/>
        <v>3000</v>
      </c>
      <c r="F30" s="40">
        <f t="shared" si="5"/>
        <v>581883.12672307133</v>
      </c>
      <c r="G30" s="41" t="str">
        <f t="shared" si="6"/>
        <v>Activo</v>
      </c>
    </row>
    <row r="31" spans="1:7" x14ac:dyDescent="0.2">
      <c r="A31" s="15">
        <f t="shared" si="0"/>
        <v>19</v>
      </c>
      <c r="B31" s="16">
        <f t="shared" si="1"/>
        <v>1.5833333333333333</v>
      </c>
      <c r="C31" s="17">
        <f t="shared" si="2"/>
        <v>581883.12672307133</v>
      </c>
      <c r="D31" s="17">
        <f t="shared" si="3"/>
        <v>727.35390840383923</v>
      </c>
      <c r="E31" s="17">
        <f t="shared" si="4"/>
        <v>3000</v>
      </c>
      <c r="F31" s="17">
        <f t="shared" si="5"/>
        <v>579610.48063147522</v>
      </c>
      <c r="G31" s="37" t="str">
        <f t="shared" si="6"/>
        <v>Activo</v>
      </c>
    </row>
    <row r="32" spans="1:7" x14ac:dyDescent="0.2">
      <c r="A32" s="38">
        <f t="shared" si="0"/>
        <v>20</v>
      </c>
      <c r="B32" s="39">
        <f t="shared" si="1"/>
        <v>1.6666666666666667</v>
      </c>
      <c r="C32" s="40">
        <f t="shared" si="2"/>
        <v>579610.48063147522</v>
      </c>
      <c r="D32" s="40">
        <f t="shared" si="3"/>
        <v>724.51310078934409</v>
      </c>
      <c r="E32" s="40">
        <f t="shared" si="4"/>
        <v>3000</v>
      </c>
      <c r="F32" s="40">
        <f t="shared" si="5"/>
        <v>577334.99373226461</v>
      </c>
      <c r="G32" s="41" t="str">
        <f t="shared" si="6"/>
        <v>Activo</v>
      </c>
    </row>
    <row r="33" spans="1:7" x14ac:dyDescent="0.2">
      <c r="A33" s="15">
        <f t="shared" si="0"/>
        <v>21</v>
      </c>
      <c r="B33" s="16">
        <f t="shared" si="1"/>
        <v>1.75</v>
      </c>
      <c r="C33" s="17">
        <f t="shared" si="2"/>
        <v>577334.99373226461</v>
      </c>
      <c r="D33" s="17">
        <f t="shared" si="3"/>
        <v>721.66874216533085</v>
      </c>
      <c r="E33" s="17">
        <f t="shared" si="4"/>
        <v>3000</v>
      </c>
      <c r="F33" s="17">
        <f t="shared" si="5"/>
        <v>575056.66247442993</v>
      </c>
      <c r="G33" s="37" t="str">
        <f t="shared" si="6"/>
        <v>Activo</v>
      </c>
    </row>
    <row r="34" spans="1:7" x14ac:dyDescent="0.2">
      <c r="A34" s="38">
        <f t="shared" si="0"/>
        <v>22</v>
      </c>
      <c r="B34" s="39">
        <f t="shared" si="1"/>
        <v>1.8333333333333333</v>
      </c>
      <c r="C34" s="40">
        <f t="shared" si="2"/>
        <v>575056.66247442993</v>
      </c>
      <c r="D34" s="40">
        <f t="shared" si="3"/>
        <v>718.82082809303745</v>
      </c>
      <c r="E34" s="40">
        <f t="shared" si="4"/>
        <v>3000</v>
      </c>
      <c r="F34" s="40">
        <f t="shared" si="5"/>
        <v>572775.48330252292</v>
      </c>
      <c r="G34" s="41" t="str">
        <f t="shared" si="6"/>
        <v>Activo</v>
      </c>
    </row>
    <row r="35" spans="1:7" x14ac:dyDescent="0.2">
      <c r="A35" s="15">
        <f t="shared" si="0"/>
        <v>23</v>
      </c>
      <c r="B35" s="16">
        <f t="shared" si="1"/>
        <v>1.9166666666666667</v>
      </c>
      <c r="C35" s="17">
        <f t="shared" si="2"/>
        <v>572775.48330252292</v>
      </c>
      <c r="D35" s="17">
        <f t="shared" si="3"/>
        <v>715.96935412815355</v>
      </c>
      <c r="E35" s="17">
        <f t="shared" si="4"/>
        <v>3000</v>
      </c>
      <c r="F35" s="17">
        <f t="shared" si="5"/>
        <v>570491.45265665103</v>
      </c>
      <c r="G35" s="37" t="str">
        <f t="shared" si="6"/>
        <v>Activo</v>
      </c>
    </row>
    <row r="36" spans="1:7" x14ac:dyDescent="0.2">
      <c r="A36" s="38">
        <f t="shared" si="0"/>
        <v>24</v>
      </c>
      <c r="B36" s="39">
        <f t="shared" si="1"/>
        <v>2</v>
      </c>
      <c r="C36" s="40">
        <f t="shared" si="2"/>
        <v>570491.45265665103</v>
      </c>
      <c r="D36" s="40">
        <f t="shared" si="3"/>
        <v>713.11431582081377</v>
      </c>
      <c r="E36" s="40">
        <f t="shared" si="4"/>
        <v>3000</v>
      </c>
      <c r="F36" s="40">
        <f t="shared" si="5"/>
        <v>568204.56697247189</v>
      </c>
      <c r="G36" s="41" t="str">
        <f t="shared" si="6"/>
        <v>Activo</v>
      </c>
    </row>
    <row r="37" spans="1:7" x14ac:dyDescent="0.2">
      <c r="A37" s="15">
        <f t="shared" si="0"/>
        <v>25</v>
      </c>
      <c r="B37" s="16">
        <f t="shared" si="1"/>
        <v>2.0833333333333335</v>
      </c>
      <c r="C37" s="17">
        <f t="shared" si="2"/>
        <v>568204.56697247189</v>
      </c>
      <c r="D37" s="17">
        <f t="shared" si="3"/>
        <v>710.25570871558978</v>
      </c>
      <c r="E37" s="17">
        <f t="shared" si="4"/>
        <v>3000</v>
      </c>
      <c r="F37" s="17">
        <f t="shared" si="5"/>
        <v>565914.82268118754</v>
      </c>
      <c r="G37" s="37" t="str">
        <f t="shared" si="6"/>
        <v>Activo</v>
      </c>
    </row>
    <row r="38" spans="1:7" x14ac:dyDescent="0.2">
      <c r="A38" s="38">
        <f t="shared" si="0"/>
        <v>26</v>
      </c>
      <c r="B38" s="39">
        <f t="shared" si="1"/>
        <v>2.1666666666666665</v>
      </c>
      <c r="C38" s="40">
        <f t="shared" si="2"/>
        <v>565914.82268118754</v>
      </c>
      <c r="D38" s="40">
        <f t="shared" si="3"/>
        <v>707.39352835148441</v>
      </c>
      <c r="E38" s="40">
        <f t="shared" si="4"/>
        <v>3000</v>
      </c>
      <c r="F38" s="40">
        <f t="shared" si="5"/>
        <v>563622.21620953898</v>
      </c>
      <c r="G38" s="41" t="str">
        <f t="shared" si="6"/>
        <v>Activo</v>
      </c>
    </row>
    <row r="39" spans="1:7" x14ac:dyDescent="0.2">
      <c r="A39" s="15">
        <f t="shared" si="0"/>
        <v>27</v>
      </c>
      <c r="B39" s="16">
        <f t="shared" si="1"/>
        <v>2.25</v>
      </c>
      <c r="C39" s="17">
        <f t="shared" si="2"/>
        <v>563622.21620953898</v>
      </c>
      <c r="D39" s="17">
        <f t="shared" si="3"/>
        <v>704.52777026192371</v>
      </c>
      <c r="E39" s="17">
        <f t="shared" si="4"/>
        <v>3000</v>
      </c>
      <c r="F39" s="17">
        <f t="shared" si="5"/>
        <v>561326.74397980096</v>
      </c>
      <c r="G39" s="37" t="str">
        <f t="shared" si="6"/>
        <v>Activo</v>
      </c>
    </row>
    <row r="40" spans="1:7" x14ac:dyDescent="0.2">
      <c r="A40" s="38">
        <f t="shared" si="0"/>
        <v>28</v>
      </c>
      <c r="B40" s="39">
        <f t="shared" si="1"/>
        <v>2.3333333333333335</v>
      </c>
      <c r="C40" s="40">
        <f t="shared" si="2"/>
        <v>561326.74397980096</v>
      </c>
      <c r="D40" s="40">
        <f t="shared" si="3"/>
        <v>701.65842997475113</v>
      </c>
      <c r="E40" s="40">
        <f t="shared" si="4"/>
        <v>3000</v>
      </c>
      <c r="F40" s="40">
        <f t="shared" si="5"/>
        <v>559028.40240977576</v>
      </c>
      <c r="G40" s="41" t="str">
        <f t="shared" si="6"/>
        <v>Activo</v>
      </c>
    </row>
    <row r="41" spans="1:7" x14ac:dyDescent="0.2">
      <c r="A41" s="15">
        <f t="shared" si="0"/>
        <v>29</v>
      </c>
      <c r="B41" s="16">
        <f t="shared" si="1"/>
        <v>2.4166666666666665</v>
      </c>
      <c r="C41" s="17">
        <f t="shared" si="2"/>
        <v>559028.40240977576</v>
      </c>
      <c r="D41" s="17">
        <f t="shared" si="3"/>
        <v>698.78550301221969</v>
      </c>
      <c r="E41" s="17">
        <f t="shared" si="4"/>
        <v>3000</v>
      </c>
      <c r="F41" s="17">
        <f t="shared" si="5"/>
        <v>556727.18791278801</v>
      </c>
      <c r="G41" s="37" t="str">
        <f t="shared" si="6"/>
        <v>Activo</v>
      </c>
    </row>
    <row r="42" spans="1:7" x14ac:dyDescent="0.2">
      <c r="A42" s="38">
        <f t="shared" si="0"/>
        <v>30</v>
      </c>
      <c r="B42" s="39">
        <f t="shared" si="1"/>
        <v>2.5</v>
      </c>
      <c r="C42" s="40">
        <f t="shared" si="2"/>
        <v>556727.18791278801</v>
      </c>
      <c r="D42" s="40">
        <f t="shared" si="3"/>
        <v>695.90898489098493</v>
      </c>
      <c r="E42" s="40">
        <f t="shared" si="4"/>
        <v>3000</v>
      </c>
      <c r="F42" s="40">
        <f t="shared" si="5"/>
        <v>554423.09689767903</v>
      </c>
      <c r="G42" s="41" t="str">
        <f t="shared" si="6"/>
        <v>Activo</v>
      </c>
    </row>
    <row r="43" spans="1:7" x14ac:dyDescent="0.2">
      <c r="A43" s="15">
        <f t="shared" si="0"/>
        <v>31</v>
      </c>
      <c r="B43" s="16">
        <f t="shared" si="1"/>
        <v>2.5833333333333335</v>
      </c>
      <c r="C43" s="17">
        <f t="shared" si="2"/>
        <v>554423.09689767903</v>
      </c>
      <c r="D43" s="17">
        <f t="shared" si="3"/>
        <v>693.02887112209874</v>
      </c>
      <c r="E43" s="17">
        <f t="shared" si="4"/>
        <v>3000</v>
      </c>
      <c r="F43" s="17">
        <f t="shared" si="5"/>
        <v>552116.12576880108</v>
      </c>
      <c r="G43" s="37" t="str">
        <f t="shared" si="6"/>
        <v>Activo</v>
      </c>
    </row>
    <row r="44" spans="1:7" x14ac:dyDescent="0.2">
      <c r="A44" s="38">
        <f t="shared" si="0"/>
        <v>32</v>
      </c>
      <c r="B44" s="39">
        <f t="shared" si="1"/>
        <v>2.6666666666666665</v>
      </c>
      <c r="C44" s="40">
        <f t="shared" si="2"/>
        <v>552116.12576880108</v>
      </c>
      <c r="D44" s="40">
        <f t="shared" si="3"/>
        <v>690.14515721100133</v>
      </c>
      <c r="E44" s="40">
        <f t="shared" si="4"/>
        <v>3000</v>
      </c>
      <c r="F44" s="40">
        <f t="shared" si="5"/>
        <v>549806.27092601208</v>
      </c>
      <c r="G44" s="41" t="str">
        <f t="shared" si="6"/>
        <v>Activo</v>
      </c>
    </row>
    <row r="45" spans="1:7" x14ac:dyDescent="0.2">
      <c r="A45" s="15">
        <f t="shared" si="0"/>
        <v>33</v>
      </c>
      <c r="B45" s="16">
        <f t="shared" si="1"/>
        <v>2.75</v>
      </c>
      <c r="C45" s="17">
        <f t="shared" si="2"/>
        <v>549806.27092601208</v>
      </c>
      <c r="D45" s="17">
        <f t="shared" si="3"/>
        <v>687.25783865751509</v>
      </c>
      <c r="E45" s="17">
        <f t="shared" si="4"/>
        <v>3000</v>
      </c>
      <c r="F45" s="17">
        <f t="shared" si="5"/>
        <v>547493.52876466955</v>
      </c>
      <c r="G45" s="37" t="str">
        <f t="shared" si="6"/>
        <v>Activo</v>
      </c>
    </row>
    <row r="46" spans="1:7" x14ac:dyDescent="0.2">
      <c r="A46" s="38">
        <f t="shared" si="0"/>
        <v>34</v>
      </c>
      <c r="B46" s="39">
        <f t="shared" si="1"/>
        <v>2.8333333333333335</v>
      </c>
      <c r="C46" s="40">
        <f t="shared" si="2"/>
        <v>547493.52876466955</v>
      </c>
      <c r="D46" s="40">
        <f t="shared" si="3"/>
        <v>684.36691095583694</v>
      </c>
      <c r="E46" s="40">
        <f t="shared" si="4"/>
        <v>3000</v>
      </c>
      <c r="F46" s="40">
        <f t="shared" si="5"/>
        <v>545177.89567562542</v>
      </c>
      <c r="G46" s="41" t="str">
        <f t="shared" si="6"/>
        <v>Activo</v>
      </c>
    </row>
    <row r="47" spans="1:7" x14ac:dyDescent="0.2">
      <c r="A47" s="15">
        <f t="shared" si="0"/>
        <v>35</v>
      </c>
      <c r="B47" s="16">
        <f t="shared" si="1"/>
        <v>2.9166666666666665</v>
      </c>
      <c r="C47" s="17">
        <f t="shared" si="2"/>
        <v>545177.89567562542</v>
      </c>
      <c r="D47" s="17">
        <f t="shared" si="3"/>
        <v>681.47236959453176</v>
      </c>
      <c r="E47" s="17">
        <f t="shared" si="4"/>
        <v>3000</v>
      </c>
      <c r="F47" s="17">
        <f t="shared" si="5"/>
        <v>542859.36804521992</v>
      </c>
      <c r="G47" s="37" t="str">
        <f t="shared" si="6"/>
        <v>Activo</v>
      </c>
    </row>
    <row r="48" spans="1:7" x14ac:dyDescent="0.2">
      <c r="A48" s="38">
        <f t="shared" si="0"/>
        <v>36</v>
      </c>
      <c r="B48" s="39">
        <f t="shared" si="1"/>
        <v>3</v>
      </c>
      <c r="C48" s="40">
        <f t="shared" si="2"/>
        <v>542859.36804521992</v>
      </c>
      <c r="D48" s="40">
        <f t="shared" si="3"/>
        <v>678.57421005652486</v>
      </c>
      <c r="E48" s="40">
        <f t="shared" si="4"/>
        <v>3000</v>
      </c>
      <c r="F48" s="40">
        <f t="shared" si="5"/>
        <v>540537.94225527649</v>
      </c>
      <c r="G48" s="41" t="str">
        <f t="shared" si="6"/>
        <v>Activo</v>
      </c>
    </row>
    <row r="49" spans="1:7" x14ac:dyDescent="0.2">
      <c r="A49" s="15">
        <f t="shared" si="0"/>
        <v>37</v>
      </c>
      <c r="B49" s="16">
        <f t="shared" si="1"/>
        <v>3.0833333333333335</v>
      </c>
      <c r="C49" s="17">
        <f t="shared" si="2"/>
        <v>540537.94225527649</v>
      </c>
      <c r="D49" s="17">
        <f t="shared" si="3"/>
        <v>675.67242781909556</v>
      </c>
      <c r="E49" s="17">
        <f t="shared" si="4"/>
        <v>3000</v>
      </c>
      <c r="F49" s="17">
        <f t="shared" si="5"/>
        <v>538213.6146830956</v>
      </c>
      <c r="G49" s="37" t="str">
        <f t="shared" si="6"/>
        <v>Activo</v>
      </c>
    </row>
    <row r="50" spans="1:7" x14ac:dyDescent="0.2">
      <c r="A50" s="38">
        <f t="shared" si="0"/>
        <v>38</v>
      </c>
      <c r="B50" s="39">
        <f t="shared" si="1"/>
        <v>3.1666666666666665</v>
      </c>
      <c r="C50" s="40">
        <f t="shared" si="2"/>
        <v>538213.6146830956</v>
      </c>
      <c r="D50" s="40">
        <f t="shared" si="3"/>
        <v>672.7670183538695</v>
      </c>
      <c r="E50" s="40">
        <f t="shared" si="4"/>
        <v>3000</v>
      </c>
      <c r="F50" s="40">
        <f t="shared" si="5"/>
        <v>535886.38170144951</v>
      </c>
      <c r="G50" s="41" t="str">
        <f t="shared" si="6"/>
        <v>Activo</v>
      </c>
    </row>
    <row r="51" spans="1:7" x14ac:dyDescent="0.2">
      <c r="A51" s="15">
        <f t="shared" si="0"/>
        <v>39</v>
      </c>
      <c r="B51" s="16">
        <f t="shared" si="1"/>
        <v>3.25</v>
      </c>
      <c r="C51" s="17">
        <f t="shared" si="2"/>
        <v>535886.38170144951</v>
      </c>
      <c r="D51" s="17">
        <f t="shared" si="3"/>
        <v>669.85797712681187</v>
      </c>
      <c r="E51" s="17">
        <f t="shared" si="4"/>
        <v>3000</v>
      </c>
      <c r="F51" s="17">
        <f t="shared" si="5"/>
        <v>533556.23967857636</v>
      </c>
      <c r="G51" s="37" t="str">
        <f t="shared" si="6"/>
        <v>Activo</v>
      </c>
    </row>
    <row r="52" spans="1:7" x14ac:dyDescent="0.2">
      <c r="A52" s="38">
        <f t="shared" si="0"/>
        <v>40</v>
      </c>
      <c r="B52" s="39">
        <f t="shared" si="1"/>
        <v>3.3333333333333335</v>
      </c>
      <c r="C52" s="40">
        <f t="shared" si="2"/>
        <v>533556.23967857636</v>
      </c>
      <c r="D52" s="40">
        <f t="shared" si="3"/>
        <v>666.94529959822046</v>
      </c>
      <c r="E52" s="40">
        <f t="shared" si="4"/>
        <v>3000</v>
      </c>
      <c r="F52" s="40">
        <f t="shared" si="5"/>
        <v>531223.18497817463</v>
      </c>
      <c r="G52" s="41" t="str">
        <f t="shared" si="6"/>
        <v>Activo</v>
      </c>
    </row>
    <row r="53" spans="1:7" x14ac:dyDescent="0.2">
      <c r="A53" s="15">
        <f t="shared" si="0"/>
        <v>41</v>
      </c>
      <c r="B53" s="16">
        <f t="shared" si="1"/>
        <v>3.4166666666666665</v>
      </c>
      <c r="C53" s="17">
        <f t="shared" si="2"/>
        <v>531223.18497817463</v>
      </c>
      <c r="D53" s="17">
        <f t="shared" si="3"/>
        <v>664.02898122271824</v>
      </c>
      <c r="E53" s="17">
        <f t="shared" si="4"/>
        <v>3000</v>
      </c>
      <c r="F53" s="17">
        <f t="shared" si="5"/>
        <v>528887.2139593974</v>
      </c>
      <c r="G53" s="37" t="str">
        <f t="shared" si="6"/>
        <v>Activo</v>
      </c>
    </row>
    <row r="54" spans="1:7" x14ac:dyDescent="0.2">
      <c r="A54" s="38">
        <f t="shared" si="0"/>
        <v>42</v>
      </c>
      <c r="B54" s="39">
        <f t="shared" si="1"/>
        <v>3.5</v>
      </c>
      <c r="C54" s="40">
        <f t="shared" si="2"/>
        <v>528887.2139593974</v>
      </c>
      <c r="D54" s="40">
        <f t="shared" si="3"/>
        <v>661.10901744924672</v>
      </c>
      <c r="E54" s="40">
        <f t="shared" si="4"/>
        <v>3000</v>
      </c>
      <c r="F54" s="40">
        <f t="shared" si="5"/>
        <v>526548.3229768466</v>
      </c>
      <c r="G54" s="41" t="str">
        <f t="shared" si="6"/>
        <v>Activo</v>
      </c>
    </row>
    <row r="55" spans="1:7" x14ac:dyDescent="0.2">
      <c r="A55" s="15">
        <f t="shared" si="0"/>
        <v>43</v>
      </c>
      <c r="B55" s="16">
        <f t="shared" si="1"/>
        <v>3.5833333333333335</v>
      </c>
      <c r="C55" s="17">
        <f t="shared" si="2"/>
        <v>526548.3229768466</v>
      </c>
      <c r="D55" s="17">
        <f t="shared" si="3"/>
        <v>658.18540372105815</v>
      </c>
      <c r="E55" s="17">
        <f t="shared" si="4"/>
        <v>3000</v>
      </c>
      <c r="F55" s="17">
        <f t="shared" si="5"/>
        <v>524206.50838056765</v>
      </c>
      <c r="G55" s="37" t="str">
        <f t="shared" si="6"/>
        <v>Activo</v>
      </c>
    </row>
    <row r="56" spans="1:7" x14ac:dyDescent="0.2">
      <c r="A56" s="38">
        <f t="shared" si="0"/>
        <v>44</v>
      </c>
      <c r="B56" s="39">
        <f t="shared" si="1"/>
        <v>3.6666666666666665</v>
      </c>
      <c r="C56" s="40">
        <f t="shared" si="2"/>
        <v>524206.50838056765</v>
      </c>
      <c r="D56" s="40">
        <f t="shared" si="3"/>
        <v>655.25813547570954</v>
      </c>
      <c r="E56" s="40">
        <f t="shared" si="4"/>
        <v>3000</v>
      </c>
      <c r="F56" s="40">
        <f t="shared" si="5"/>
        <v>521861.76651604334</v>
      </c>
      <c r="G56" s="41" t="str">
        <f t="shared" si="6"/>
        <v>Activo</v>
      </c>
    </row>
    <row r="57" spans="1:7" x14ac:dyDescent="0.2">
      <c r="A57" s="15">
        <f t="shared" si="0"/>
        <v>45</v>
      </c>
      <c r="B57" s="16">
        <f t="shared" si="1"/>
        <v>3.75</v>
      </c>
      <c r="C57" s="17">
        <f t="shared" si="2"/>
        <v>521861.76651604334</v>
      </c>
      <c r="D57" s="17">
        <f t="shared" si="3"/>
        <v>652.32720814505421</v>
      </c>
      <c r="E57" s="17">
        <f t="shared" si="4"/>
        <v>3000</v>
      </c>
      <c r="F57" s="17">
        <f t="shared" si="5"/>
        <v>519514.09372418839</v>
      </c>
      <c r="G57" s="37" t="str">
        <f t="shared" si="6"/>
        <v>Activo</v>
      </c>
    </row>
    <row r="58" spans="1:7" x14ac:dyDescent="0.2">
      <c r="A58" s="38">
        <f t="shared" si="0"/>
        <v>46</v>
      </c>
      <c r="B58" s="39">
        <f t="shared" si="1"/>
        <v>3.8333333333333335</v>
      </c>
      <c r="C58" s="40">
        <f t="shared" si="2"/>
        <v>519514.09372418839</v>
      </c>
      <c r="D58" s="40">
        <f t="shared" si="3"/>
        <v>649.39261715523548</v>
      </c>
      <c r="E58" s="40">
        <f t="shared" si="4"/>
        <v>3000</v>
      </c>
      <c r="F58" s="40">
        <f t="shared" si="5"/>
        <v>517163.48634134361</v>
      </c>
      <c r="G58" s="41" t="str">
        <f t="shared" si="6"/>
        <v>Activo</v>
      </c>
    </row>
    <row r="59" spans="1:7" x14ac:dyDescent="0.2">
      <c r="A59" s="15">
        <f t="shared" si="0"/>
        <v>47</v>
      </c>
      <c r="B59" s="16">
        <f t="shared" si="1"/>
        <v>3.9166666666666665</v>
      </c>
      <c r="C59" s="17">
        <f t="shared" si="2"/>
        <v>517163.48634134361</v>
      </c>
      <c r="D59" s="17">
        <f t="shared" si="3"/>
        <v>646.45435792667956</v>
      </c>
      <c r="E59" s="17">
        <f t="shared" si="4"/>
        <v>3000</v>
      </c>
      <c r="F59" s="17">
        <f t="shared" si="5"/>
        <v>514809.94069927029</v>
      </c>
      <c r="G59" s="37" t="str">
        <f t="shared" si="6"/>
        <v>Activo</v>
      </c>
    </row>
    <row r="60" spans="1:7" x14ac:dyDescent="0.2">
      <c r="A60" s="38">
        <f t="shared" si="0"/>
        <v>48</v>
      </c>
      <c r="B60" s="39">
        <f t="shared" si="1"/>
        <v>4</v>
      </c>
      <c r="C60" s="40">
        <f t="shared" si="2"/>
        <v>514809.94069927029</v>
      </c>
      <c r="D60" s="40">
        <f t="shared" si="3"/>
        <v>643.51242587408785</v>
      </c>
      <c r="E60" s="40">
        <f t="shared" si="4"/>
        <v>3000</v>
      </c>
      <c r="F60" s="40">
        <f t="shared" si="5"/>
        <v>512453.45312514435</v>
      </c>
      <c r="G60" s="41" t="str">
        <f t="shared" si="6"/>
        <v>Activo</v>
      </c>
    </row>
    <row r="61" spans="1:7" x14ac:dyDescent="0.2">
      <c r="A61" s="15">
        <f t="shared" si="0"/>
        <v>49</v>
      </c>
      <c r="B61" s="16">
        <f t="shared" si="1"/>
        <v>4.083333333333333</v>
      </c>
      <c r="C61" s="17">
        <f t="shared" si="2"/>
        <v>512453.45312514435</v>
      </c>
      <c r="D61" s="17">
        <f t="shared" si="3"/>
        <v>640.56681640643035</v>
      </c>
      <c r="E61" s="17">
        <f t="shared" si="4"/>
        <v>3000</v>
      </c>
      <c r="F61" s="17">
        <f t="shared" si="5"/>
        <v>510094.0199415508</v>
      </c>
      <c r="G61" s="37" t="str">
        <f t="shared" si="6"/>
        <v>Activo</v>
      </c>
    </row>
    <row r="62" spans="1:7" x14ac:dyDescent="0.2">
      <c r="A62" s="38">
        <f t="shared" si="0"/>
        <v>50</v>
      </c>
      <c r="B62" s="39">
        <f t="shared" si="1"/>
        <v>4.166666666666667</v>
      </c>
      <c r="C62" s="40">
        <f t="shared" si="2"/>
        <v>510094.0199415508</v>
      </c>
      <c r="D62" s="40">
        <f t="shared" si="3"/>
        <v>637.61752492693847</v>
      </c>
      <c r="E62" s="40">
        <f t="shared" si="4"/>
        <v>3000</v>
      </c>
      <c r="F62" s="40">
        <f t="shared" si="5"/>
        <v>507731.63746647775</v>
      </c>
      <c r="G62" s="41" t="str">
        <f t="shared" si="6"/>
        <v>Activo</v>
      </c>
    </row>
    <row r="63" spans="1:7" x14ac:dyDescent="0.2">
      <c r="A63" s="15">
        <f t="shared" si="0"/>
        <v>51</v>
      </c>
      <c r="B63" s="16">
        <f t="shared" si="1"/>
        <v>4.25</v>
      </c>
      <c r="C63" s="17">
        <f t="shared" si="2"/>
        <v>507731.63746647775</v>
      </c>
      <c r="D63" s="17">
        <f t="shared" si="3"/>
        <v>634.66454683309723</v>
      </c>
      <c r="E63" s="17">
        <f t="shared" si="4"/>
        <v>3000</v>
      </c>
      <c r="F63" s="17">
        <f t="shared" si="5"/>
        <v>505366.30201331084</v>
      </c>
      <c r="G63" s="37" t="str">
        <f t="shared" si="6"/>
        <v>Activo</v>
      </c>
    </row>
    <row r="64" spans="1:7" x14ac:dyDescent="0.2">
      <c r="A64" s="38">
        <f t="shared" si="0"/>
        <v>52</v>
      </c>
      <c r="B64" s="39">
        <f t="shared" si="1"/>
        <v>4.333333333333333</v>
      </c>
      <c r="C64" s="40">
        <f t="shared" si="2"/>
        <v>505366.30201331084</v>
      </c>
      <c r="D64" s="40">
        <f t="shared" si="3"/>
        <v>631.70787751663852</v>
      </c>
      <c r="E64" s="40">
        <f t="shared" si="4"/>
        <v>3000</v>
      </c>
      <c r="F64" s="40">
        <f t="shared" si="5"/>
        <v>502998.00989082747</v>
      </c>
      <c r="G64" s="41" t="str">
        <f t="shared" si="6"/>
        <v>Activo</v>
      </c>
    </row>
    <row r="65" spans="1:7" x14ac:dyDescent="0.2">
      <c r="A65" s="15">
        <f t="shared" si="0"/>
        <v>53</v>
      </c>
      <c r="B65" s="16">
        <f t="shared" si="1"/>
        <v>4.416666666666667</v>
      </c>
      <c r="C65" s="17">
        <f t="shared" si="2"/>
        <v>502998.00989082747</v>
      </c>
      <c r="D65" s="17">
        <f t="shared" si="3"/>
        <v>628.74751236353438</v>
      </c>
      <c r="E65" s="17">
        <f t="shared" si="4"/>
        <v>3000</v>
      </c>
      <c r="F65" s="17">
        <f t="shared" si="5"/>
        <v>500626.757403191</v>
      </c>
      <c r="G65" s="37" t="str">
        <f t="shared" si="6"/>
        <v>Activo</v>
      </c>
    </row>
    <row r="66" spans="1:7" x14ac:dyDescent="0.2">
      <c r="A66" s="38">
        <f t="shared" si="0"/>
        <v>54</v>
      </c>
      <c r="B66" s="39">
        <f t="shared" si="1"/>
        <v>4.5</v>
      </c>
      <c r="C66" s="40">
        <f t="shared" si="2"/>
        <v>500626.757403191</v>
      </c>
      <c r="D66" s="40">
        <f t="shared" si="3"/>
        <v>625.78344675398876</v>
      </c>
      <c r="E66" s="40">
        <f t="shared" si="4"/>
        <v>3000</v>
      </c>
      <c r="F66" s="40">
        <f t="shared" si="5"/>
        <v>498252.54084994498</v>
      </c>
      <c r="G66" s="41" t="str">
        <f t="shared" si="6"/>
        <v>Activo</v>
      </c>
    </row>
    <row r="67" spans="1:7" x14ac:dyDescent="0.2">
      <c r="A67" s="15">
        <f t="shared" si="0"/>
        <v>55</v>
      </c>
      <c r="B67" s="16">
        <f t="shared" si="1"/>
        <v>4.583333333333333</v>
      </c>
      <c r="C67" s="17">
        <f t="shared" si="2"/>
        <v>498252.54084994498</v>
      </c>
      <c r="D67" s="17">
        <f t="shared" si="3"/>
        <v>622.81567606243118</v>
      </c>
      <c r="E67" s="17">
        <f t="shared" si="4"/>
        <v>3000</v>
      </c>
      <c r="F67" s="17">
        <f t="shared" si="5"/>
        <v>495875.35652600741</v>
      </c>
      <c r="G67" s="37" t="str">
        <f t="shared" si="6"/>
        <v>Activo</v>
      </c>
    </row>
    <row r="68" spans="1:7" x14ac:dyDescent="0.2">
      <c r="A68" s="38">
        <f t="shared" si="0"/>
        <v>56</v>
      </c>
      <c r="B68" s="39">
        <f t="shared" si="1"/>
        <v>4.666666666666667</v>
      </c>
      <c r="C68" s="40">
        <f t="shared" si="2"/>
        <v>495875.35652600741</v>
      </c>
      <c r="D68" s="40">
        <f t="shared" si="3"/>
        <v>619.8441956575092</v>
      </c>
      <c r="E68" s="40">
        <f t="shared" si="4"/>
        <v>3000</v>
      </c>
      <c r="F68" s="40">
        <f t="shared" si="5"/>
        <v>493495.20072166494</v>
      </c>
      <c r="G68" s="41" t="str">
        <f t="shared" si="6"/>
        <v>Activo</v>
      </c>
    </row>
    <row r="69" spans="1:7" x14ac:dyDescent="0.2">
      <c r="A69" s="15">
        <f t="shared" si="0"/>
        <v>57</v>
      </c>
      <c r="B69" s="16">
        <f t="shared" si="1"/>
        <v>4.75</v>
      </c>
      <c r="C69" s="17">
        <f t="shared" si="2"/>
        <v>493495.20072166494</v>
      </c>
      <c r="D69" s="17">
        <f t="shared" si="3"/>
        <v>616.86900090208121</v>
      </c>
      <c r="E69" s="17">
        <f t="shared" si="4"/>
        <v>3000</v>
      </c>
      <c r="F69" s="17">
        <f t="shared" si="5"/>
        <v>491112.06972256704</v>
      </c>
      <c r="G69" s="37" t="str">
        <f t="shared" si="6"/>
        <v>Activo</v>
      </c>
    </row>
    <row r="70" spans="1:7" x14ac:dyDescent="0.2">
      <c r="A70" s="38">
        <f t="shared" si="0"/>
        <v>58</v>
      </c>
      <c r="B70" s="39">
        <f t="shared" si="1"/>
        <v>4.833333333333333</v>
      </c>
      <c r="C70" s="40">
        <f t="shared" si="2"/>
        <v>491112.06972256704</v>
      </c>
      <c r="D70" s="40">
        <f t="shared" si="3"/>
        <v>613.89008715320881</v>
      </c>
      <c r="E70" s="40">
        <f t="shared" si="4"/>
        <v>3000</v>
      </c>
      <c r="F70" s="40">
        <f t="shared" si="5"/>
        <v>488725.95980972023</v>
      </c>
      <c r="G70" s="41" t="str">
        <f t="shared" si="6"/>
        <v>Activo</v>
      </c>
    </row>
    <row r="71" spans="1:7" x14ac:dyDescent="0.2">
      <c r="A71" s="15">
        <f t="shared" si="0"/>
        <v>59</v>
      </c>
      <c r="B71" s="16">
        <f t="shared" si="1"/>
        <v>4.916666666666667</v>
      </c>
      <c r="C71" s="17">
        <f t="shared" si="2"/>
        <v>488725.95980972023</v>
      </c>
      <c r="D71" s="17">
        <f t="shared" si="3"/>
        <v>610.90744976215024</v>
      </c>
      <c r="E71" s="17">
        <f t="shared" si="4"/>
        <v>3000</v>
      </c>
      <c r="F71" s="17">
        <f t="shared" si="5"/>
        <v>486336.86725948239</v>
      </c>
      <c r="G71" s="37" t="str">
        <f t="shared" si="6"/>
        <v>Activo</v>
      </c>
    </row>
    <row r="72" spans="1:7" x14ac:dyDescent="0.2">
      <c r="A72" s="38">
        <f t="shared" si="0"/>
        <v>60</v>
      </c>
      <c r="B72" s="39">
        <f t="shared" si="1"/>
        <v>5</v>
      </c>
      <c r="C72" s="40">
        <f t="shared" si="2"/>
        <v>486336.86725948239</v>
      </c>
      <c r="D72" s="40">
        <f t="shared" si="3"/>
        <v>607.92108407435296</v>
      </c>
      <c r="E72" s="40">
        <f t="shared" si="4"/>
        <v>3000</v>
      </c>
      <c r="F72" s="40">
        <f t="shared" si="5"/>
        <v>483944.78834355675</v>
      </c>
      <c r="G72" s="41" t="str">
        <f t="shared" si="6"/>
        <v>Activo</v>
      </c>
    </row>
    <row r="73" spans="1:7" x14ac:dyDescent="0.2">
      <c r="A73" s="15">
        <f t="shared" si="0"/>
        <v>61</v>
      </c>
      <c r="B73" s="16">
        <f t="shared" si="1"/>
        <v>5.083333333333333</v>
      </c>
      <c r="C73" s="17">
        <f t="shared" si="2"/>
        <v>483944.78834355675</v>
      </c>
      <c r="D73" s="17">
        <f t="shared" si="3"/>
        <v>604.93098542944597</v>
      </c>
      <c r="E73" s="17">
        <f t="shared" si="4"/>
        <v>3000</v>
      </c>
      <c r="F73" s="17">
        <f t="shared" si="5"/>
        <v>481549.71932898619</v>
      </c>
      <c r="G73" s="37" t="str">
        <f t="shared" si="6"/>
        <v>Activo</v>
      </c>
    </row>
    <row r="74" spans="1:7" x14ac:dyDescent="0.2">
      <c r="A74" s="38">
        <f t="shared" si="0"/>
        <v>62</v>
      </c>
      <c r="B74" s="39">
        <f t="shared" si="1"/>
        <v>5.166666666666667</v>
      </c>
      <c r="C74" s="40">
        <f t="shared" si="2"/>
        <v>481549.71932898619</v>
      </c>
      <c r="D74" s="40">
        <f t="shared" si="3"/>
        <v>601.9371491612327</v>
      </c>
      <c r="E74" s="40">
        <f t="shared" si="4"/>
        <v>3000</v>
      </c>
      <c r="F74" s="40">
        <f t="shared" si="5"/>
        <v>479151.65647814743</v>
      </c>
      <c r="G74" s="41" t="str">
        <f t="shared" si="6"/>
        <v>Activo</v>
      </c>
    </row>
    <row r="75" spans="1:7" x14ac:dyDescent="0.2">
      <c r="A75" s="15">
        <f t="shared" si="0"/>
        <v>63</v>
      </c>
      <c r="B75" s="16">
        <f t="shared" si="1"/>
        <v>5.25</v>
      </c>
      <c r="C75" s="17">
        <f t="shared" si="2"/>
        <v>479151.65647814743</v>
      </c>
      <c r="D75" s="17">
        <f t="shared" si="3"/>
        <v>598.93957059768434</v>
      </c>
      <c r="E75" s="17">
        <f t="shared" si="4"/>
        <v>3000</v>
      </c>
      <c r="F75" s="17">
        <f t="shared" si="5"/>
        <v>476750.59604874509</v>
      </c>
      <c r="G75" s="37" t="str">
        <f t="shared" si="6"/>
        <v>Activo</v>
      </c>
    </row>
    <row r="76" spans="1:7" x14ac:dyDescent="0.2">
      <c r="A76" s="38">
        <f t="shared" si="0"/>
        <v>64</v>
      </c>
      <c r="B76" s="39">
        <f t="shared" si="1"/>
        <v>5.333333333333333</v>
      </c>
      <c r="C76" s="40">
        <f t="shared" si="2"/>
        <v>476750.59604874509</v>
      </c>
      <c r="D76" s="40">
        <f t="shared" si="3"/>
        <v>595.93824506093131</v>
      </c>
      <c r="E76" s="40">
        <f t="shared" si="4"/>
        <v>3000</v>
      </c>
      <c r="F76" s="40">
        <f t="shared" si="5"/>
        <v>474346.53429380601</v>
      </c>
      <c r="G76" s="41" t="str">
        <f t="shared" si="6"/>
        <v>Activo</v>
      </c>
    </row>
    <row r="77" spans="1:7" x14ac:dyDescent="0.2">
      <c r="A77" s="15">
        <f t="shared" si="0"/>
        <v>65</v>
      </c>
      <c r="B77" s="16">
        <f t="shared" si="1"/>
        <v>5.416666666666667</v>
      </c>
      <c r="C77" s="17">
        <f t="shared" si="2"/>
        <v>474346.53429380601</v>
      </c>
      <c r="D77" s="17">
        <f t="shared" si="3"/>
        <v>592.93316786725745</v>
      </c>
      <c r="E77" s="17">
        <f t="shared" si="4"/>
        <v>3000</v>
      </c>
      <c r="F77" s="17">
        <f t="shared" si="5"/>
        <v>471939.46746167325</v>
      </c>
      <c r="G77" s="37" t="str">
        <f t="shared" si="6"/>
        <v>Activo</v>
      </c>
    </row>
    <row r="78" spans="1:7" x14ac:dyDescent="0.2">
      <c r="A78" s="38">
        <f t="shared" ref="A78:A141" si="7">A77+1</f>
        <v>66</v>
      </c>
      <c r="B78" s="39">
        <f t="shared" ref="B78:B141" si="8">A78/12</f>
        <v>5.5</v>
      </c>
      <c r="C78" s="40">
        <f t="shared" ref="C78:C141" si="9">F77</f>
        <v>471939.46746167325</v>
      </c>
      <c r="D78" s="40">
        <f t="shared" ref="D78:D141" si="10">IF(C78&gt;0,C78*$B$7/12,0)</f>
        <v>589.92433432709151</v>
      </c>
      <c r="E78" s="40">
        <f t="shared" ref="E78:E141" si="11">IF(C78&gt;0,MIN($B$6,C78+D78),0)</f>
        <v>3000</v>
      </c>
      <c r="F78" s="40">
        <f t="shared" ref="F78:F141" si="12">MAX(0,C78+D78-E78)</f>
        <v>469529.39179600036</v>
      </c>
      <c r="G78" s="41" t="str">
        <f t="shared" ref="G78:G141" si="13">IF(C78=0,"Agotado",IF(F78=0,"Último retiro","Activo"))</f>
        <v>Activo</v>
      </c>
    </row>
    <row r="79" spans="1:7" x14ac:dyDescent="0.2">
      <c r="A79" s="15">
        <f t="shared" si="7"/>
        <v>67</v>
      </c>
      <c r="B79" s="16">
        <f t="shared" si="8"/>
        <v>5.583333333333333</v>
      </c>
      <c r="C79" s="17">
        <f t="shared" si="9"/>
        <v>469529.39179600036</v>
      </c>
      <c r="D79" s="17">
        <f t="shared" si="10"/>
        <v>586.91173974500043</v>
      </c>
      <c r="E79" s="17">
        <f t="shared" si="11"/>
        <v>3000</v>
      </c>
      <c r="F79" s="17">
        <f t="shared" si="12"/>
        <v>467116.30353574536</v>
      </c>
      <c r="G79" s="37" t="str">
        <f t="shared" si="13"/>
        <v>Activo</v>
      </c>
    </row>
    <row r="80" spans="1:7" x14ac:dyDescent="0.2">
      <c r="A80" s="38">
        <f t="shared" si="7"/>
        <v>68</v>
      </c>
      <c r="B80" s="39">
        <f t="shared" si="8"/>
        <v>5.666666666666667</v>
      </c>
      <c r="C80" s="40">
        <f t="shared" si="9"/>
        <v>467116.30353574536</v>
      </c>
      <c r="D80" s="40">
        <f t="shared" si="10"/>
        <v>583.89537941968172</v>
      </c>
      <c r="E80" s="40">
        <f t="shared" si="11"/>
        <v>3000</v>
      </c>
      <c r="F80" s="40">
        <f t="shared" si="12"/>
        <v>464700.19891516503</v>
      </c>
      <c r="G80" s="41" t="str">
        <f t="shared" si="13"/>
        <v>Activo</v>
      </c>
    </row>
    <row r="81" spans="1:7" x14ac:dyDescent="0.2">
      <c r="A81" s="15">
        <f t="shared" si="7"/>
        <v>69</v>
      </c>
      <c r="B81" s="16">
        <f t="shared" si="8"/>
        <v>5.75</v>
      </c>
      <c r="C81" s="17">
        <f t="shared" si="9"/>
        <v>464700.19891516503</v>
      </c>
      <c r="D81" s="17">
        <f t="shared" si="10"/>
        <v>580.8752486439563</v>
      </c>
      <c r="E81" s="17">
        <f t="shared" si="11"/>
        <v>3000</v>
      </c>
      <c r="F81" s="17">
        <f t="shared" si="12"/>
        <v>462281.07416380901</v>
      </c>
      <c r="G81" s="37" t="str">
        <f t="shared" si="13"/>
        <v>Activo</v>
      </c>
    </row>
    <row r="82" spans="1:7" x14ac:dyDescent="0.2">
      <c r="A82" s="38">
        <f t="shared" si="7"/>
        <v>70</v>
      </c>
      <c r="B82" s="39">
        <f t="shared" si="8"/>
        <v>5.833333333333333</v>
      </c>
      <c r="C82" s="40">
        <f t="shared" si="9"/>
        <v>462281.07416380901</v>
      </c>
      <c r="D82" s="40">
        <f t="shared" si="10"/>
        <v>577.85134270476124</v>
      </c>
      <c r="E82" s="40">
        <f t="shared" si="11"/>
        <v>3000</v>
      </c>
      <c r="F82" s="40">
        <f t="shared" si="12"/>
        <v>459858.9255065138</v>
      </c>
      <c r="G82" s="41" t="str">
        <f t="shared" si="13"/>
        <v>Activo</v>
      </c>
    </row>
    <row r="83" spans="1:7" x14ac:dyDescent="0.2">
      <c r="A83" s="15">
        <f t="shared" si="7"/>
        <v>71</v>
      </c>
      <c r="B83" s="16">
        <f t="shared" si="8"/>
        <v>5.916666666666667</v>
      </c>
      <c r="C83" s="17">
        <f t="shared" si="9"/>
        <v>459858.9255065138</v>
      </c>
      <c r="D83" s="17">
        <f t="shared" si="10"/>
        <v>574.82365688314223</v>
      </c>
      <c r="E83" s="17">
        <f t="shared" si="11"/>
        <v>3000</v>
      </c>
      <c r="F83" s="17">
        <f t="shared" si="12"/>
        <v>457433.74916339695</v>
      </c>
      <c r="G83" s="37" t="str">
        <f t="shared" si="13"/>
        <v>Activo</v>
      </c>
    </row>
    <row r="84" spans="1:7" x14ac:dyDescent="0.2">
      <c r="A84" s="38">
        <f t="shared" si="7"/>
        <v>72</v>
      </c>
      <c r="B84" s="39">
        <f t="shared" si="8"/>
        <v>6</v>
      </c>
      <c r="C84" s="40">
        <f t="shared" si="9"/>
        <v>457433.74916339695</v>
      </c>
      <c r="D84" s="40">
        <f t="shared" si="10"/>
        <v>571.79218645424623</v>
      </c>
      <c r="E84" s="40">
        <f t="shared" si="11"/>
        <v>3000</v>
      </c>
      <c r="F84" s="40">
        <f t="shared" si="12"/>
        <v>455005.54134985118</v>
      </c>
      <c r="G84" s="41" t="str">
        <f t="shared" si="13"/>
        <v>Activo</v>
      </c>
    </row>
    <row r="85" spans="1:7" x14ac:dyDescent="0.2">
      <c r="A85" s="15">
        <f t="shared" si="7"/>
        <v>73</v>
      </c>
      <c r="B85" s="16">
        <f t="shared" si="8"/>
        <v>6.083333333333333</v>
      </c>
      <c r="C85" s="17">
        <f t="shared" si="9"/>
        <v>455005.54134985118</v>
      </c>
      <c r="D85" s="17">
        <f t="shared" si="10"/>
        <v>568.75692668731392</v>
      </c>
      <c r="E85" s="17">
        <f t="shared" si="11"/>
        <v>3000</v>
      </c>
      <c r="F85" s="17">
        <f t="shared" si="12"/>
        <v>452574.29827653849</v>
      </c>
      <c r="G85" s="37" t="str">
        <f t="shared" si="13"/>
        <v>Activo</v>
      </c>
    </row>
    <row r="86" spans="1:7" x14ac:dyDescent="0.2">
      <c r="A86" s="38">
        <f t="shared" si="7"/>
        <v>74</v>
      </c>
      <c r="B86" s="39">
        <f t="shared" si="8"/>
        <v>6.166666666666667</v>
      </c>
      <c r="C86" s="40">
        <f t="shared" si="9"/>
        <v>452574.29827653849</v>
      </c>
      <c r="D86" s="40">
        <f t="shared" si="10"/>
        <v>565.71787284567313</v>
      </c>
      <c r="E86" s="40">
        <f t="shared" si="11"/>
        <v>3000</v>
      </c>
      <c r="F86" s="40">
        <f t="shared" si="12"/>
        <v>450140.01614938414</v>
      </c>
      <c r="G86" s="41" t="str">
        <f t="shared" si="13"/>
        <v>Activo</v>
      </c>
    </row>
    <row r="87" spans="1:7" x14ac:dyDescent="0.2">
      <c r="A87" s="15">
        <f t="shared" si="7"/>
        <v>75</v>
      </c>
      <c r="B87" s="16">
        <f t="shared" si="8"/>
        <v>6.25</v>
      </c>
      <c r="C87" s="17">
        <f t="shared" si="9"/>
        <v>450140.01614938414</v>
      </c>
      <c r="D87" s="17">
        <f t="shared" si="10"/>
        <v>562.67502018673019</v>
      </c>
      <c r="E87" s="17">
        <f t="shared" si="11"/>
        <v>3000</v>
      </c>
      <c r="F87" s="17">
        <f t="shared" si="12"/>
        <v>447702.6911695709</v>
      </c>
      <c r="G87" s="37" t="str">
        <f t="shared" si="13"/>
        <v>Activo</v>
      </c>
    </row>
    <row r="88" spans="1:7" x14ac:dyDescent="0.2">
      <c r="A88" s="38">
        <f t="shared" si="7"/>
        <v>76</v>
      </c>
      <c r="B88" s="39">
        <f t="shared" si="8"/>
        <v>6.333333333333333</v>
      </c>
      <c r="C88" s="40">
        <f t="shared" si="9"/>
        <v>447702.6911695709</v>
      </c>
      <c r="D88" s="40">
        <f t="shared" si="10"/>
        <v>559.6283639619636</v>
      </c>
      <c r="E88" s="40">
        <f t="shared" si="11"/>
        <v>3000</v>
      </c>
      <c r="F88" s="40">
        <f t="shared" si="12"/>
        <v>445262.31953353283</v>
      </c>
      <c r="G88" s="41" t="str">
        <f t="shared" si="13"/>
        <v>Activo</v>
      </c>
    </row>
    <row r="89" spans="1:7" x14ac:dyDescent="0.2">
      <c r="A89" s="15">
        <f t="shared" si="7"/>
        <v>77</v>
      </c>
      <c r="B89" s="16">
        <f t="shared" si="8"/>
        <v>6.416666666666667</v>
      </c>
      <c r="C89" s="17">
        <f t="shared" si="9"/>
        <v>445262.31953353283</v>
      </c>
      <c r="D89" s="17">
        <f t="shared" si="10"/>
        <v>556.57789941691601</v>
      </c>
      <c r="E89" s="17">
        <f t="shared" si="11"/>
        <v>3000</v>
      </c>
      <c r="F89" s="17">
        <f t="shared" si="12"/>
        <v>442818.89743294974</v>
      </c>
      <c r="G89" s="37" t="str">
        <f t="shared" si="13"/>
        <v>Activo</v>
      </c>
    </row>
    <row r="90" spans="1:7" x14ac:dyDescent="0.2">
      <c r="A90" s="38">
        <f t="shared" si="7"/>
        <v>78</v>
      </c>
      <c r="B90" s="39">
        <f t="shared" si="8"/>
        <v>6.5</v>
      </c>
      <c r="C90" s="40">
        <f t="shared" si="9"/>
        <v>442818.89743294974</v>
      </c>
      <c r="D90" s="40">
        <f t="shared" si="10"/>
        <v>553.52362179118711</v>
      </c>
      <c r="E90" s="40">
        <f t="shared" si="11"/>
        <v>3000</v>
      </c>
      <c r="F90" s="40">
        <f t="shared" si="12"/>
        <v>440372.4210547409</v>
      </c>
      <c r="G90" s="41" t="str">
        <f t="shared" si="13"/>
        <v>Activo</v>
      </c>
    </row>
    <row r="91" spans="1:7" x14ac:dyDescent="0.2">
      <c r="A91" s="15">
        <f t="shared" si="7"/>
        <v>79</v>
      </c>
      <c r="B91" s="16">
        <f t="shared" si="8"/>
        <v>6.583333333333333</v>
      </c>
      <c r="C91" s="17">
        <f t="shared" si="9"/>
        <v>440372.4210547409</v>
      </c>
      <c r="D91" s="17">
        <f t="shared" si="10"/>
        <v>550.4655263184261</v>
      </c>
      <c r="E91" s="17">
        <f t="shared" si="11"/>
        <v>3000</v>
      </c>
      <c r="F91" s="17">
        <f t="shared" si="12"/>
        <v>437922.88658105931</v>
      </c>
      <c r="G91" s="37" t="str">
        <f t="shared" si="13"/>
        <v>Activo</v>
      </c>
    </row>
    <row r="92" spans="1:7" x14ac:dyDescent="0.2">
      <c r="A92" s="38">
        <f t="shared" si="7"/>
        <v>80</v>
      </c>
      <c r="B92" s="39">
        <f t="shared" si="8"/>
        <v>6.666666666666667</v>
      </c>
      <c r="C92" s="40">
        <f t="shared" si="9"/>
        <v>437922.88658105931</v>
      </c>
      <c r="D92" s="40">
        <f t="shared" si="10"/>
        <v>547.40360822632408</v>
      </c>
      <c r="E92" s="40">
        <f t="shared" si="11"/>
        <v>3000</v>
      </c>
      <c r="F92" s="40">
        <f t="shared" si="12"/>
        <v>435470.29018928565</v>
      </c>
      <c r="G92" s="41" t="str">
        <f t="shared" si="13"/>
        <v>Activo</v>
      </c>
    </row>
    <row r="93" spans="1:7" x14ac:dyDescent="0.2">
      <c r="A93" s="15">
        <f t="shared" si="7"/>
        <v>81</v>
      </c>
      <c r="B93" s="16">
        <f t="shared" si="8"/>
        <v>6.75</v>
      </c>
      <c r="C93" s="17">
        <f t="shared" si="9"/>
        <v>435470.29018928565</v>
      </c>
      <c r="D93" s="17">
        <f t="shared" si="10"/>
        <v>544.33786273660701</v>
      </c>
      <c r="E93" s="17">
        <f t="shared" si="11"/>
        <v>3000</v>
      </c>
      <c r="F93" s="17">
        <f t="shared" si="12"/>
        <v>433014.62805202225</v>
      </c>
      <c r="G93" s="37" t="str">
        <f t="shared" si="13"/>
        <v>Activo</v>
      </c>
    </row>
    <row r="94" spans="1:7" x14ac:dyDescent="0.2">
      <c r="A94" s="38">
        <f t="shared" si="7"/>
        <v>82</v>
      </c>
      <c r="B94" s="39">
        <f t="shared" si="8"/>
        <v>6.833333333333333</v>
      </c>
      <c r="C94" s="40">
        <f t="shared" si="9"/>
        <v>433014.62805202225</v>
      </c>
      <c r="D94" s="40">
        <f t="shared" si="10"/>
        <v>541.26828506502773</v>
      </c>
      <c r="E94" s="40">
        <f t="shared" si="11"/>
        <v>3000</v>
      </c>
      <c r="F94" s="40">
        <f t="shared" si="12"/>
        <v>430555.89633708727</v>
      </c>
      <c r="G94" s="41" t="str">
        <f t="shared" si="13"/>
        <v>Activo</v>
      </c>
    </row>
    <row r="95" spans="1:7" x14ac:dyDescent="0.2">
      <c r="A95" s="15">
        <f t="shared" si="7"/>
        <v>83</v>
      </c>
      <c r="B95" s="16">
        <f t="shared" si="8"/>
        <v>6.916666666666667</v>
      </c>
      <c r="C95" s="17">
        <f t="shared" si="9"/>
        <v>430555.89633708727</v>
      </c>
      <c r="D95" s="17">
        <f t="shared" si="10"/>
        <v>538.19487042135904</v>
      </c>
      <c r="E95" s="17">
        <f t="shared" si="11"/>
        <v>3000</v>
      </c>
      <c r="F95" s="17">
        <f t="shared" si="12"/>
        <v>428094.09120750864</v>
      </c>
      <c r="G95" s="37" t="str">
        <f t="shared" si="13"/>
        <v>Activo</v>
      </c>
    </row>
    <row r="96" spans="1:7" x14ac:dyDescent="0.2">
      <c r="A96" s="38">
        <f t="shared" si="7"/>
        <v>84</v>
      </c>
      <c r="B96" s="39">
        <f t="shared" si="8"/>
        <v>7</v>
      </c>
      <c r="C96" s="40">
        <f t="shared" si="9"/>
        <v>428094.09120750864</v>
      </c>
      <c r="D96" s="40">
        <f t="shared" si="10"/>
        <v>535.11761400938576</v>
      </c>
      <c r="E96" s="40">
        <f t="shared" si="11"/>
        <v>3000</v>
      </c>
      <c r="F96" s="40">
        <f t="shared" si="12"/>
        <v>425629.208821518</v>
      </c>
      <c r="G96" s="41" t="str">
        <f t="shared" si="13"/>
        <v>Activo</v>
      </c>
    </row>
    <row r="97" spans="1:7" x14ac:dyDescent="0.2">
      <c r="A97" s="15">
        <f t="shared" si="7"/>
        <v>85</v>
      </c>
      <c r="B97" s="16">
        <f t="shared" si="8"/>
        <v>7.083333333333333</v>
      </c>
      <c r="C97" s="17">
        <f t="shared" si="9"/>
        <v>425629.208821518</v>
      </c>
      <c r="D97" s="17">
        <f t="shared" si="10"/>
        <v>532.03651102689753</v>
      </c>
      <c r="E97" s="17">
        <f t="shared" si="11"/>
        <v>3000</v>
      </c>
      <c r="F97" s="17">
        <f t="shared" si="12"/>
        <v>423161.2453325449</v>
      </c>
      <c r="G97" s="37" t="str">
        <f t="shared" si="13"/>
        <v>Activo</v>
      </c>
    </row>
    <row r="98" spans="1:7" x14ac:dyDescent="0.2">
      <c r="A98" s="38">
        <f t="shared" si="7"/>
        <v>86</v>
      </c>
      <c r="B98" s="39">
        <f t="shared" si="8"/>
        <v>7.166666666666667</v>
      </c>
      <c r="C98" s="40">
        <f t="shared" si="9"/>
        <v>423161.2453325449</v>
      </c>
      <c r="D98" s="40">
        <f t="shared" si="10"/>
        <v>528.9515566656811</v>
      </c>
      <c r="E98" s="40">
        <f t="shared" si="11"/>
        <v>3000</v>
      </c>
      <c r="F98" s="40">
        <f t="shared" si="12"/>
        <v>420690.19688921061</v>
      </c>
      <c r="G98" s="41" t="str">
        <f t="shared" si="13"/>
        <v>Activo</v>
      </c>
    </row>
    <row r="99" spans="1:7" x14ac:dyDescent="0.2">
      <c r="A99" s="15">
        <f t="shared" si="7"/>
        <v>87</v>
      </c>
      <c r="B99" s="16">
        <f t="shared" si="8"/>
        <v>7.25</v>
      </c>
      <c r="C99" s="17">
        <f t="shared" si="9"/>
        <v>420690.19688921061</v>
      </c>
      <c r="D99" s="17">
        <f t="shared" si="10"/>
        <v>525.86274611151327</v>
      </c>
      <c r="E99" s="17">
        <f t="shared" si="11"/>
        <v>3000</v>
      </c>
      <c r="F99" s="17">
        <f t="shared" si="12"/>
        <v>418216.05963532213</v>
      </c>
      <c r="G99" s="37" t="str">
        <f t="shared" si="13"/>
        <v>Activo</v>
      </c>
    </row>
    <row r="100" spans="1:7" x14ac:dyDescent="0.2">
      <c r="A100" s="38">
        <f t="shared" si="7"/>
        <v>88</v>
      </c>
      <c r="B100" s="39">
        <f t="shared" si="8"/>
        <v>7.333333333333333</v>
      </c>
      <c r="C100" s="40">
        <f t="shared" si="9"/>
        <v>418216.05963532213</v>
      </c>
      <c r="D100" s="40">
        <f t="shared" si="10"/>
        <v>522.77007454415264</v>
      </c>
      <c r="E100" s="40">
        <f t="shared" si="11"/>
        <v>3000</v>
      </c>
      <c r="F100" s="40">
        <f t="shared" si="12"/>
        <v>415738.82970986626</v>
      </c>
      <c r="G100" s="41" t="str">
        <f t="shared" si="13"/>
        <v>Activo</v>
      </c>
    </row>
    <row r="101" spans="1:7" x14ac:dyDescent="0.2">
      <c r="A101" s="15">
        <f t="shared" si="7"/>
        <v>89</v>
      </c>
      <c r="B101" s="16">
        <f t="shared" si="8"/>
        <v>7.416666666666667</v>
      </c>
      <c r="C101" s="17">
        <f t="shared" si="9"/>
        <v>415738.82970986626</v>
      </c>
      <c r="D101" s="17">
        <f t="shared" si="10"/>
        <v>519.6735371373328</v>
      </c>
      <c r="E101" s="17">
        <f t="shared" si="11"/>
        <v>3000</v>
      </c>
      <c r="F101" s="17">
        <f t="shared" si="12"/>
        <v>413258.50324700359</v>
      </c>
      <c r="G101" s="37" t="str">
        <f t="shared" si="13"/>
        <v>Activo</v>
      </c>
    </row>
    <row r="102" spans="1:7" x14ac:dyDescent="0.2">
      <c r="A102" s="38">
        <f t="shared" si="7"/>
        <v>90</v>
      </c>
      <c r="B102" s="39">
        <f t="shared" si="8"/>
        <v>7.5</v>
      </c>
      <c r="C102" s="40">
        <f t="shared" si="9"/>
        <v>413258.50324700359</v>
      </c>
      <c r="D102" s="40">
        <f t="shared" si="10"/>
        <v>516.57312905875449</v>
      </c>
      <c r="E102" s="40">
        <f t="shared" si="11"/>
        <v>3000</v>
      </c>
      <c r="F102" s="40">
        <f t="shared" si="12"/>
        <v>410775.07637606235</v>
      </c>
      <c r="G102" s="41" t="str">
        <f t="shared" si="13"/>
        <v>Activo</v>
      </c>
    </row>
    <row r="103" spans="1:7" x14ac:dyDescent="0.2">
      <c r="A103" s="15">
        <f t="shared" si="7"/>
        <v>91</v>
      </c>
      <c r="B103" s="16">
        <f t="shared" si="8"/>
        <v>7.583333333333333</v>
      </c>
      <c r="C103" s="17">
        <f t="shared" si="9"/>
        <v>410775.07637606235</v>
      </c>
      <c r="D103" s="17">
        <f t="shared" si="10"/>
        <v>513.46884547007789</v>
      </c>
      <c r="E103" s="17">
        <f t="shared" si="11"/>
        <v>3000</v>
      </c>
      <c r="F103" s="17">
        <f t="shared" si="12"/>
        <v>408288.5452215324</v>
      </c>
      <c r="G103" s="37" t="str">
        <f t="shared" si="13"/>
        <v>Activo</v>
      </c>
    </row>
    <row r="104" spans="1:7" x14ac:dyDescent="0.2">
      <c r="A104" s="38">
        <f t="shared" si="7"/>
        <v>92</v>
      </c>
      <c r="B104" s="39">
        <f t="shared" si="8"/>
        <v>7.666666666666667</v>
      </c>
      <c r="C104" s="40">
        <f t="shared" si="9"/>
        <v>408288.5452215324</v>
      </c>
      <c r="D104" s="40">
        <f t="shared" si="10"/>
        <v>510.36068152691547</v>
      </c>
      <c r="E104" s="40">
        <f t="shared" si="11"/>
        <v>3000</v>
      </c>
      <c r="F104" s="40">
        <f t="shared" si="12"/>
        <v>405798.90590305929</v>
      </c>
      <c r="G104" s="41" t="str">
        <f t="shared" si="13"/>
        <v>Activo</v>
      </c>
    </row>
    <row r="105" spans="1:7" x14ac:dyDescent="0.2">
      <c r="A105" s="15">
        <f t="shared" si="7"/>
        <v>93</v>
      </c>
      <c r="B105" s="16">
        <f t="shared" si="8"/>
        <v>7.75</v>
      </c>
      <c r="C105" s="17">
        <f t="shared" si="9"/>
        <v>405798.90590305929</v>
      </c>
      <c r="D105" s="17">
        <f t="shared" si="10"/>
        <v>507.24863237882408</v>
      </c>
      <c r="E105" s="17">
        <f t="shared" si="11"/>
        <v>3000</v>
      </c>
      <c r="F105" s="17">
        <f t="shared" si="12"/>
        <v>403306.15453543811</v>
      </c>
      <c r="G105" s="37" t="str">
        <f t="shared" si="13"/>
        <v>Activo</v>
      </c>
    </row>
    <row r="106" spans="1:7" x14ac:dyDescent="0.2">
      <c r="A106" s="38">
        <f t="shared" si="7"/>
        <v>94</v>
      </c>
      <c r="B106" s="39">
        <f t="shared" si="8"/>
        <v>7.833333333333333</v>
      </c>
      <c r="C106" s="40">
        <f t="shared" si="9"/>
        <v>403306.15453543811</v>
      </c>
      <c r="D106" s="40">
        <f t="shared" si="10"/>
        <v>504.13269316929762</v>
      </c>
      <c r="E106" s="40">
        <f t="shared" si="11"/>
        <v>3000</v>
      </c>
      <c r="F106" s="40">
        <f t="shared" si="12"/>
        <v>400810.2872286074</v>
      </c>
      <c r="G106" s="41" t="str">
        <f t="shared" si="13"/>
        <v>Activo</v>
      </c>
    </row>
    <row r="107" spans="1:7" x14ac:dyDescent="0.2">
      <c r="A107" s="15">
        <f t="shared" si="7"/>
        <v>95</v>
      </c>
      <c r="B107" s="16">
        <f t="shared" si="8"/>
        <v>7.916666666666667</v>
      </c>
      <c r="C107" s="17">
        <f t="shared" si="9"/>
        <v>400810.2872286074</v>
      </c>
      <c r="D107" s="17">
        <f t="shared" si="10"/>
        <v>501.01285903575922</v>
      </c>
      <c r="E107" s="17">
        <f t="shared" si="11"/>
        <v>3000</v>
      </c>
      <c r="F107" s="17">
        <f t="shared" si="12"/>
        <v>398311.30008764315</v>
      </c>
      <c r="G107" s="37" t="str">
        <f t="shared" si="13"/>
        <v>Activo</v>
      </c>
    </row>
    <row r="108" spans="1:7" x14ac:dyDescent="0.2">
      <c r="A108" s="38">
        <f t="shared" si="7"/>
        <v>96</v>
      </c>
      <c r="B108" s="39">
        <f t="shared" si="8"/>
        <v>8</v>
      </c>
      <c r="C108" s="40">
        <f t="shared" si="9"/>
        <v>398311.30008764315</v>
      </c>
      <c r="D108" s="40">
        <f t="shared" si="10"/>
        <v>497.88912510955396</v>
      </c>
      <c r="E108" s="40">
        <f t="shared" si="11"/>
        <v>3000</v>
      </c>
      <c r="F108" s="40">
        <f t="shared" si="12"/>
        <v>395809.18921275268</v>
      </c>
      <c r="G108" s="41" t="str">
        <f t="shared" si="13"/>
        <v>Activo</v>
      </c>
    </row>
    <row r="109" spans="1:7" x14ac:dyDescent="0.2">
      <c r="A109" s="15">
        <f t="shared" si="7"/>
        <v>97</v>
      </c>
      <c r="B109" s="16">
        <f t="shared" si="8"/>
        <v>8.0833333333333339</v>
      </c>
      <c r="C109" s="17">
        <f t="shared" si="9"/>
        <v>395809.18921275268</v>
      </c>
      <c r="D109" s="17">
        <f t="shared" si="10"/>
        <v>494.76148651594082</v>
      </c>
      <c r="E109" s="17">
        <f t="shared" si="11"/>
        <v>3000</v>
      </c>
      <c r="F109" s="17">
        <f t="shared" si="12"/>
        <v>393303.95069926861</v>
      </c>
      <c r="G109" s="37" t="str">
        <f t="shared" si="13"/>
        <v>Activo</v>
      </c>
    </row>
    <row r="110" spans="1:7" x14ac:dyDescent="0.2">
      <c r="A110" s="38">
        <f t="shared" si="7"/>
        <v>98</v>
      </c>
      <c r="B110" s="39">
        <f t="shared" si="8"/>
        <v>8.1666666666666661</v>
      </c>
      <c r="C110" s="40">
        <f t="shared" si="9"/>
        <v>393303.95069926861</v>
      </c>
      <c r="D110" s="40">
        <f t="shared" si="10"/>
        <v>491.62993837408573</v>
      </c>
      <c r="E110" s="40">
        <f t="shared" si="11"/>
        <v>3000</v>
      </c>
      <c r="F110" s="40">
        <f t="shared" si="12"/>
        <v>390795.58063764271</v>
      </c>
      <c r="G110" s="41" t="str">
        <f t="shared" si="13"/>
        <v>Activo</v>
      </c>
    </row>
    <row r="111" spans="1:7" x14ac:dyDescent="0.2">
      <c r="A111" s="15">
        <f t="shared" si="7"/>
        <v>99</v>
      </c>
      <c r="B111" s="16">
        <f t="shared" si="8"/>
        <v>8.25</v>
      </c>
      <c r="C111" s="17">
        <f t="shared" si="9"/>
        <v>390795.58063764271</v>
      </c>
      <c r="D111" s="17">
        <f t="shared" si="10"/>
        <v>488.49447579705338</v>
      </c>
      <c r="E111" s="17">
        <f t="shared" si="11"/>
        <v>3000</v>
      </c>
      <c r="F111" s="17">
        <f t="shared" si="12"/>
        <v>388284.07511343976</v>
      </c>
      <c r="G111" s="37" t="str">
        <f t="shared" si="13"/>
        <v>Activo</v>
      </c>
    </row>
    <row r="112" spans="1:7" x14ac:dyDescent="0.2">
      <c r="A112" s="38">
        <f t="shared" si="7"/>
        <v>100</v>
      </c>
      <c r="B112" s="39">
        <f t="shared" si="8"/>
        <v>8.3333333333333339</v>
      </c>
      <c r="C112" s="40">
        <f t="shared" si="9"/>
        <v>388284.07511343976</v>
      </c>
      <c r="D112" s="40">
        <f t="shared" si="10"/>
        <v>485.3550938917997</v>
      </c>
      <c r="E112" s="40">
        <f t="shared" si="11"/>
        <v>3000</v>
      </c>
      <c r="F112" s="40">
        <f t="shared" si="12"/>
        <v>385769.43020733155</v>
      </c>
      <c r="G112" s="41" t="str">
        <f t="shared" si="13"/>
        <v>Activo</v>
      </c>
    </row>
    <row r="113" spans="1:7" x14ac:dyDescent="0.2">
      <c r="A113" s="15">
        <f t="shared" si="7"/>
        <v>101</v>
      </c>
      <c r="B113" s="16">
        <f t="shared" si="8"/>
        <v>8.4166666666666661</v>
      </c>
      <c r="C113" s="17">
        <f t="shared" si="9"/>
        <v>385769.43020733155</v>
      </c>
      <c r="D113" s="17">
        <f t="shared" si="10"/>
        <v>482.21178775916445</v>
      </c>
      <c r="E113" s="17">
        <f t="shared" si="11"/>
        <v>3000</v>
      </c>
      <c r="F113" s="17">
        <f t="shared" si="12"/>
        <v>383251.6419950907</v>
      </c>
      <c r="G113" s="37" t="str">
        <f t="shared" si="13"/>
        <v>Activo</v>
      </c>
    </row>
    <row r="114" spans="1:7" x14ac:dyDescent="0.2">
      <c r="A114" s="38">
        <f t="shared" si="7"/>
        <v>102</v>
      </c>
      <c r="B114" s="39">
        <f t="shared" si="8"/>
        <v>8.5</v>
      </c>
      <c r="C114" s="40">
        <f t="shared" si="9"/>
        <v>383251.6419950907</v>
      </c>
      <c r="D114" s="40">
        <f t="shared" si="10"/>
        <v>479.06455249386335</v>
      </c>
      <c r="E114" s="40">
        <f t="shared" si="11"/>
        <v>3000</v>
      </c>
      <c r="F114" s="40">
        <f t="shared" si="12"/>
        <v>380730.70654758456</v>
      </c>
      <c r="G114" s="41" t="str">
        <f t="shared" si="13"/>
        <v>Activo</v>
      </c>
    </row>
    <row r="115" spans="1:7" x14ac:dyDescent="0.2">
      <c r="A115" s="15">
        <f t="shared" si="7"/>
        <v>103</v>
      </c>
      <c r="B115" s="16">
        <f t="shared" si="8"/>
        <v>8.5833333333333339</v>
      </c>
      <c r="C115" s="17">
        <f t="shared" si="9"/>
        <v>380730.70654758456</v>
      </c>
      <c r="D115" s="17">
        <f t="shared" si="10"/>
        <v>475.91338318448067</v>
      </c>
      <c r="E115" s="17">
        <f t="shared" si="11"/>
        <v>3000</v>
      </c>
      <c r="F115" s="17">
        <f t="shared" si="12"/>
        <v>378206.61993076903</v>
      </c>
      <c r="G115" s="37" t="str">
        <f t="shared" si="13"/>
        <v>Activo</v>
      </c>
    </row>
    <row r="116" spans="1:7" x14ac:dyDescent="0.2">
      <c r="A116" s="38">
        <f t="shared" si="7"/>
        <v>104</v>
      </c>
      <c r="B116" s="39">
        <f t="shared" si="8"/>
        <v>8.6666666666666661</v>
      </c>
      <c r="C116" s="40">
        <f t="shared" si="9"/>
        <v>378206.61993076903</v>
      </c>
      <c r="D116" s="40">
        <f t="shared" si="10"/>
        <v>472.75827491346126</v>
      </c>
      <c r="E116" s="40">
        <f t="shared" si="11"/>
        <v>3000</v>
      </c>
      <c r="F116" s="40">
        <f t="shared" si="12"/>
        <v>375679.3782056825</v>
      </c>
      <c r="G116" s="41" t="str">
        <f t="shared" si="13"/>
        <v>Activo</v>
      </c>
    </row>
    <row r="117" spans="1:7" x14ac:dyDescent="0.2">
      <c r="A117" s="15">
        <f t="shared" si="7"/>
        <v>105</v>
      </c>
      <c r="B117" s="16">
        <f t="shared" si="8"/>
        <v>8.75</v>
      </c>
      <c r="C117" s="17">
        <f t="shared" si="9"/>
        <v>375679.3782056825</v>
      </c>
      <c r="D117" s="17">
        <f t="shared" si="10"/>
        <v>469.59922275710306</v>
      </c>
      <c r="E117" s="17">
        <f t="shared" si="11"/>
        <v>3000</v>
      </c>
      <c r="F117" s="17">
        <f t="shared" si="12"/>
        <v>373148.9774284396</v>
      </c>
      <c r="G117" s="37" t="str">
        <f t="shared" si="13"/>
        <v>Activo</v>
      </c>
    </row>
    <row r="118" spans="1:7" x14ac:dyDescent="0.2">
      <c r="A118" s="38">
        <f t="shared" si="7"/>
        <v>106</v>
      </c>
      <c r="B118" s="39">
        <f t="shared" si="8"/>
        <v>8.8333333333333339</v>
      </c>
      <c r="C118" s="40">
        <f t="shared" si="9"/>
        <v>373148.9774284396</v>
      </c>
      <c r="D118" s="40">
        <f t="shared" si="10"/>
        <v>466.43622178554944</v>
      </c>
      <c r="E118" s="40">
        <f t="shared" si="11"/>
        <v>3000</v>
      </c>
      <c r="F118" s="40">
        <f t="shared" si="12"/>
        <v>370615.41365022515</v>
      </c>
      <c r="G118" s="41" t="str">
        <f t="shared" si="13"/>
        <v>Activo</v>
      </c>
    </row>
    <row r="119" spans="1:7" x14ac:dyDescent="0.2">
      <c r="A119" s="15">
        <f t="shared" si="7"/>
        <v>107</v>
      </c>
      <c r="B119" s="16">
        <f t="shared" si="8"/>
        <v>8.9166666666666661</v>
      </c>
      <c r="C119" s="17">
        <f t="shared" si="9"/>
        <v>370615.41365022515</v>
      </c>
      <c r="D119" s="17">
        <f t="shared" si="10"/>
        <v>463.26926706278141</v>
      </c>
      <c r="E119" s="17">
        <f t="shared" si="11"/>
        <v>3000</v>
      </c>
      <c r="F119" s="17">
        <f t="shared" si="12"/>
        <v>368078.68291728792</v>
      </c>
      <c r="G119" s="37" t="str">
        <f t="shared" si="13"/>
        <v>Activo</v>
      </c>
    </row>
    <row r="120" spans="1:7" x14ac:dyDescent="0.2">
      <c r="A120" s="38">
        <f t="shared" si="7"/>
        <v>108</v>
      </c>
      <c r="B120" s="39">
        <f t="shared" si="8"/>
        <v>9</v>
      </c>
      <c r="C120" s="40">
        <f t="shared" si="9"/>
        <v>368078.68291728792</v>
      </c>
      <c r="D120" s="40">
        <f t="shared" si="10"/>
        <v>460.09835364660989</v>
      </c>
      <c r="E120" s="40">
        <f t="shared" si="11"/>
        <v>3000</v>
      </c>
      <c r="F120" s="40">
        <f t="shared" si="12"/>
        <v>365538.78127093456</v>
      </c>
      <c r="G120" s="41" t="str">
        <f t="shared" si="13"/>
        <v>Activo</v>
      </c>
    </row>
    <row r="121" spans="1:7" x14ac:dyDescent="0.2">
      <c r="A121" s="15">
        <f t="shared" si="7"/>
        <v>109</v>
      </c>
      <c r="B121" s="16">
        <f t="shared" si="8"/>
        <v>9.0833333333333339</v>
      </c>
      <c r="C121" s="17">
        <f t="shared" si="9"/>
        <v>365538.78127093456</v>
      </c>
      <c r="D121" s="17">
        <f t="shared" si="10"/>
        <v>456.92347658866817</v>
      </c>
      <c r="E121" s="17">
        <f t="shared" si="11"/>
        <v>3000</v>
      </c>
      <c r="F121" s="17">
        <f t="shared" si="12"/>
        <v>362995.70474752324</v>
      </c>
      <c r="G121" s="37" t="str">
        <f t="shared" si="13"/>
        <v>Activo</v>
      </c>
    </row>
    <row r="122" spans="1:7" x14ac:dyDescent="0.2">
      <c r="A122" s="38">
        <f t="shared" si="7"/>
        <v>110</v>
      </c>
      <c r="B122" s="39">
        <f t="shared" si="8"/>
        <v>9.1666666666666661</v>
      </c>
      <c r="C122" s="40">
        <f t="shared" si="9"/>
        <v>362995.70474752324</v>
      </c>
      <c r="D122" s="40">
        <f t="shared" si="10"/>
        <v>453.74463093440403</v>
      </c>
      <c r="E122" s="40">
        <f t="shared" si="11"/>
        <v>3000</v>
      </c>
      <c r="F122" s="40">
        <f t="shared" si="12"/>
        <v>360449.44937845762</v>
      </c>
      <c r="G122" s="41" t="str">
        <f t="shared" si="13"/>
        <v>Activo</v>
      </c>
    </row>
    <row r="123" spans="1:7" x14ac:dyDescent="0.2">
      <c r="A123" s="15">
        <f t="shared" si="7"/>
        <v>111</v>
      </c>
      <c r="B123" s="16">
        <f t="shared" si="8"/>
        <v>9.25</v>
      </c>
      <c r="C123" s="17">
        <f t="shared" si="9"/>
        <v>360449.44937845762</v>
      </c>
      <c r="D123" s="17">
        <f t="shared" si="10"/>
        <v>450.56181172307197</v>
      </c>
      <c r="E123" s="17">
        <f t="shared" si="11"/>
        <v>3000</v>
      </c>
      <c r="F123" s="17">
        <f t="shared" si="12"/>
        <v>357900.01119018067</v>
      </c>
      <c r="G123" s="37" t="str">
        <f t="shared" si="13"/>
        <v>Activo</v>
      </c>
    </row>
    <row r="124" spans="1:7" x14ac:dyDescent="0.2">
      <c r="A124" s="38">
        <f t="shared" si="7"/>
        <v>112</v>
      </c>
      <c r="B124" s="39">
        <f t="shared" si="8"/>
        <v>9.3333333333333339</v>
      </c>
      <c r="C124" s="40">
        <f t="shared" si="9"/>
        <v>357900.01119018067</v>
      </c>
      <c r="D124" s="40">
        <f t="shared" si="10"/>
        <v>447.37501398772582</v>
      </c>
      <c r="E124" s="40">
        <f t="shared" si="11"/>
        <v>3000</v>
      </c>
      <c r="F124" s="40">
        <f t="shared" si="12"/>
        <v>355347.38620416838</v>
      </c>
      <c r="G124" s="41" t="str">
        <f t="shared" si="13"/>
        <v>Activo</v>
      </c>
    </row>
    <row r="125" spans="1:7" x14ac:dyDescent="0.2">
      <c r="A125" s="15">
        <f t="shared" si="7"/>
        <v>113</v>
      </c>
      <c r="B125" s="16">
        <f t="shared" si="8"/>
        <v>9.4166666666666661</v>
      </c>
      <c r="C125" s="17">
        <f t="shared" si="9"/>
        <v>355347.38620416838</v>
      </c>
      <c r="D125" s="17">
        <f t="shared" si="10"/>
        <v>444.18423275521042</v>
      </c>
      <c r="E125" s="17">
        <f t="shared" si="11"/>
        <v>3000</v>
      </c>
      <c r="F125" s="17">
        <f t="shared" si="12"/>
        <v>352791.57043692359</v>
      </c>
      <c r="G125" s="37" t="str">
        <f t="shared" si="13"/>
        <v>Activo</v>
      </c>
    </row>
    <row r="126" spans="1:7" x14ac:dyDescent="0.2">
      <c r="A126" s="38">
        <f t="shared" si="7"/>
        <v>114</v>
      </c>
      <c r="B126" s="39">
        <f t="shared" si="8"/>
        <v>9.5</v>
      </c>
      <c r="C126" s="40">
        <f t="shared" si="9"/>
        <v>352791.57043692359</v>
      </c>
      <c r="D126" s="40">
        <f t="shared" si="10"/>
        <v>440.98946304615447</v>
      </c>
      <c r="E126" s="40">
        <f t="shared" si="11"/>
        <v>3000</v>
      </c>
      <c r="F126" s="40">
        <f t="shared" si="12"/>
        <v>350232.55989996972</v>
      </c>
      <c r="G126" s="41" t="str">
        <f t="shared" si="13"/>
        <v>Activo</v>
      </c>
    </row>
    <row r="127" spans="1:7" x14ac:dyDescent="0.2">
      <c r="A127" s="15">
        <f t="shared" si="7"/>
        <v>115</v>
      </c>
      <c r="B127" s="16">
        <f t="shared" si="8"/>
        <v>9.5833333333333339</v>
      </c>
      <c r="C127" s="17">
        <f t="shared" si="9"/>
        <v>350232.55989996972</v>
      </c>
      <c r="D127" s="17">
        <f t="shared" si="10"/>
        <v>437.79069987496217</v>
      </c>
      <c r="E127" s="17">
        <f t="shared" si="11"/>
        <v>3000</v>
      </c>
      <c r="F127" s="17">
        <f t="shared" si="12"/>
        <v>347670.35059984471</v>
      </c>
      <c r="G127" s="37" t="str">
        <f t="shared" si="13"/>
        <v>Activo</v>
      </c>
    </row>
    <row r="128" spans="1:7" x14ac:dyDescent="0.2">
      <c r="A128" s="38">
        <f t="shared" si="7"/>
        <v>116</v>
      </c>
      <c r="B128" s="39">
        <f t="shared" si="8"/>
        <v>9.6666666666666661</v>
      </c>
      <c r="C128" s="40">
        <f t="shared" si="9"/>
        <v>347670.35059984471</v>
      </c>
      <c r="D128" s="40">
        <f t="shared" si="10"/>
        <v>434.58793824980586</v>
      </c>
      <c r="E128" s="40">
        <f t="shared" si="11"/>
        <v>3000</v>
      </c>
      <c r="F128" s="40">
        <f t="shared" si="12"/>
        <v>345104.93853809452</v>
      </c>
      <c r="G128" s="41" t="str">
        <f t="shared" si="13"/>
        <v>Activo</v>
      </c>
    </row>
    <row r="129" spans="1:7" x14ac:dyDescent="0.2">
      <c r="A129" s="15">
        <f t="shared" si="7"/>
        <v>117</v>
      </c>
      <c r="B129" s="16">
        <f t="shared" si="8"/>
        <v>9.75</v>
      </c>
      <c r="C129" s="17">
        <f t="shared" si="9"/>
        <v>345104.93853809452</v>
      </c>
      <c r="D129" s="17">
        <f t="shared" si="10"/>
        <v>431.38117317261816</v>
      </c>
      <c r="E129" s="17">
        <f t="shared" si="11"/>
        <v>3000</v>
      </c>
      <c r="F129" s="17">
        <f t="shared" si="12"/>
        <v>342536.31971126713</v>
      </c>
      <c r="G129" s="37" t="str">
        <f t="shared" si="13"/>
        <v>Activo</v>
      </c>
    </row>
    <row r="130" spans="1:7" x14ac:dyDescent="0.2">
      <c r="A130" s="38">
        <f t="shared" si="7"/>
        <v>118</v>
      </c>
      <c r="B130" s="39">
        <f t="shared" si="8"/>
        <v>9.8333333333333339</v>
      </c>
      <c r="C130" s="40">
        <f t="shared" si="9"/>
        <v>342536.31971126713</v>
      </c>
      <c r="D130" s="40">
        <f t="shared" si="10"/>
        <v>428.17039963908388</v>
      </c>
      <c r="E130" s="40">
        <f t="shared" si="11"/>
        <v>3000</v>
      </c>
      <c r="F130" s="40">
        <f t="shared" si="12"/>
        <v>339964.49011090619</v>
      </c>
      <c r="G130" s="41" t="str">
        <f t="shared" si="13"/>
        <v>Activo</v>
      </c>
    </row>
    <row r="131" spans="1:7" x14ac:dyDescent="0.2">
      <c r="A131" s="15">
        <f t="shared" si="7"/>
        <v>119</v>
      </c>
      <c r="B131" s="16">
        <f t="shared" si="8"/>
        <v>9.9166666666666661</v>
      </c>
      <c r="C131" s="17">
        <f t="shared" si="9"/>
        <v>339964.49011090619</v>
      </c>
      <c r="D131" s="17">
        <f t="shared" si="10"/>
        <v>424.95561263863277</v>
      </c>
      <c r="E131" s="17">
        <f t="shared" si="11"/>
        <v>3000</v>
      </c>
      <c r="F131" s="17">
        <f t="shared" si="12"/>
        <v>337389.44572354481</v>
      </c>
      <c r="G131" s="37" t="str">
        <f t="shared" si="13"/>
        <v>Activo</v>
      </c>
    </row>
    <row r="132" spans="1:7" x14ac:dyDescent="0.2">
      <c r="A132" s="38">
        <f t="shared" si="7"/>
        <v>120</v>
      </c>
      <c r="B132" s="39">
        <f t="shared" si="8"/>
        <v>10</v>
      </c>
      <c r="C132" s="40">
        <f t="shared" si="9"/>
        <v>337389.44572354481</v>
      </c>
      <c r="D132" s="40">
        <f t="shared" si="10"/>
        <v>421.73680715443101</v>
      </c>
      <c r="E132" s="40">
        <f t="shared" si="11"/>
        <v>3000</v>
      </c>
      <c r="F132" s="40">
        <f t="shared" si="12"/>
        <v>334811.18253069924</v>
      </c>
      <c r="G132" s="41" t="str">
        <f t="shared" si="13"/>
        <v>Activo</v>
      </c>
    </row>
    <row r="133" spans="1:7" x14ac:dyDescent="0.2">
      <c r="A133" s="15">
        <f t="shared" si="7"/>
        <v>121</v>
      </c>
      <c r="B133" s="16">
        <f t="shared" si="8"/>
        <v>10.083333333333334</v>
      </c>
      <c r="C133" s="17">
        <f t="shared" si="9"/>
        <v>334811.18253069924</v>
      </c>
      <c r="D133" s="17">
        <f t="shared" si="10"/>
        <v>418.51397816337402</v>
      </c>
      <c r="E133" s="17">
        <f t="shared" si="11"/>
        <v>3000</v>
      </c>
      <c r="F133" s="17">
        <f t="shared" si="12"/>
        <v>332229.6965088626</v>
      </c>
      <c r="G133" s="37" t="str">
        <f t="shared" si="13"/>
        <v>Activo</v>
      </c>
    </row>
    <row r="134" spans="1:7" x14ac:dyDescent="0.2">
      <c r="A134" s="38">
        <f t="shared" si="7"/>
        <v>122</v>
      </c>
      <c r="B134" s="39">
        <f t="shared" si="8"/>
        <v>10.166666666666666</v>
      </c>
      <c r="C134" s="40">
        <f t="shared" si="9"/>
        <v>332229.6965088626</v>
      </c>
      <c r="D134" s="40">
        <f t="shared" si="10"/>
        <v>415.28712063607827</v>
      </c>
      <c r="E134" s="40">
        <f t="shared" si="11"/>
        <v>3000</v>
      </c>
      <c r="F134" s="40">
        <f t="shared" si="12"/>
        <v>329644.98362949869</v>
      </c>
      <c r="G134" s="41" t="str">
        <f t="shared" si="13"/>
        <v>Activo</v>
      </c>
    </row>
    <row r="135" spans="1:7" x14ac:dyDescent="0.2">
      <c r="A135" s="15">
        <f t="shared" si="7"/>
        <v>123</v>
      </c>
      <c r="B135" s="16">
        <f t="shared" si="8"/>
        <v>10.25</v>
      </c>
      <c r="C135" s="17">
        <f t="shared" si="9"/>
        <v>329644.98362949869</v>
      </c>
      <c r="D135" s="17">
        <f t="shared" si="10"/>
        <v>412.05622953687333</v>
      </c>
      <c r="E135" s="17">
        <f t="shared" si="11"/>
        <v>3000</v>
      </c>
      <c r="F135" s="17">
        <f t="shared" si="12"/>
        <v>327057.03985903558</v>
      </c>
      <c r="G135" s="37" t="str">
        <f t="shared" si="13"/>
        <v>Activo</v>
      </c>
    </row>
    <row r="136" spans="1:7" x14ac:dyDescent="0.2">
      <c r="A136" s="38">
        <f t="shared" si="7"/>
        <v>124</v>
      </c>
      <c r="B136" s="39">
        <f t="shared" si="8"/>
        <v>10.333333333333334</v>
      </c>
      <c r="C136" s="40">
        <f t="shared" si="9"/>
        <v>327057.03985903558</v>
      </c>
      <c r="D136" s="40">
        <f t="shared" si="10"/>
        <v>408.8212998237945</v>
      </c>
      <c r="E136" s="40">
        <f t="shared" si="11"/>
        <v>3000</v>
      </c>
      <c r="F136" s="40">
        <f t="shared" si="12"/>
        <v>324465.86115885939</v>
      </c>
      <c r="G136" s="41" t="str">
        <f t="shared" si="13"/>
        <v>Activo</v>
      </c>
    </row>
    <row r="137" spans="1:7" x14ac:dyDescent="0.2">
      <c r="A137" s="15">
        <f t="shared" si="7"/>
        <v>125</v>
      </c>
      <c r="B137" s="16">
        <f t="shared" si="8"/>
        <v>10.416666666666666</v>
      </c>
      <c r="C137" s="17">
        <f t="shared" si="9"/>
        <v>324465.86115885939</v>
      </c>
      <c r="D137" s="17">
        <f t="shared" si="10"/>
        <v>405.58232644857418</v>
      </c>
      <c r="E137" s="17">
        <f t="shared" si="11"/>
        <v>3000</v>
      </c>
      <c r="F137" s="17">
        <f t="shared" si="12"/>
        <v>321871.44348530797</v>
      </c>
      <c r="G137" s="37" t="str">
        <f t="shared" si="13"/>
        <v>Activo</v>
      </c>
    </row>
    <row r="138" spans="1:7" x14ac:dyDescent="0.2">
      <c r="A138" s="38">
        <f t="shared" si="7"/>
        <v>126</v>
      </c>
      <c r="B138" s="39">
        <f t="shared" si="8"/>
        <v>10.5</v>
      </c>
      <c r="C138" s="40">
        <f t="shared" si="9"/>
        <v>321871.44348530797</v>
      </c>
      <c r="D138" s="40">
        <f t="shared" si="10"/>
        <v>402.33930435663495</v>
      </c>
      <c r="E138" s="40">
        <f t="shared" si="11"/>
        <v>3000</v>
      </c>
      <c r="F138" s="40">
        <f t="shared" si="12"/>
        <v>319273.78278966463</v>
      </c>
      <c r="G138" s="41" t="str">
        <f t="shared" si="13"/>
        <v>Activo</v>
      </c>
    </row>
    <row r="139" spans="1:7" x14ac:dyDescent="0.2">
      <c r="A139" s="15">
        <f t="shared" si="7"/>
        <v>127</v>
      </c>
      <c r="B139" s="16">
        <f t="shared" si="8"/>
        <v>10.583333333333334</v>
      </c>
      <c r="C139" s="17">
        <f t="shared" si="9"/>
        <v>319273.78278966463</v>
      </c>
      <c r="D139" s="17">
        <f t="shared" si="10"/>
        <v>399.09222848708077</v>
      </c>
      <c r="E139" s="17">
        <f t="shared" si="11"/>
        <v>3000</v>
      </c>
      <c r="F139" s="17">
        <f t="shared" si="12"/>
        <v>316672.87501815171</v>
      </c>
      <c r="G139" s="37" t="str">
        <f t="shared" si="13"/>
        <v>Activo</v>
      </c>
    </row>
    <row r="140" spans="1:7" x14ac:dyDescent="0.2">
      <c r="A140" s="38">
        <f t="shared" si="7"/>
        <v>128</v>
      </c>
      <c r="B140" s="39">
        <f t="shared" si="8"/>
        <v>10.666666666666666</v>
      </c>
      <c r="C140" s="40">
        <f t="shared" si="9"/>
        <v>316672.87501815171</v>
      </c>
      <c r="D140" s="40">
        <f t="shared" si="10"/>
        <v>395.84109377268965</v>
      </c>
      <c r="E140" s="40">
        <f t="shared" si="11"/>
        <v>3000</v>
      </c>
      <c r="F140" s="40">
        <f t="shared" si="12"/>
        <v>314068.71611192438</v>
      </c>
      <c r="G140" s="41" t="str">
        <f t="shared" si="13"/>
        <v>Activo</v>
      </c>
    </row>
    <row r="141" spans="1:7" x14ac:dyDescent="0.2">
      <c r="A141" s="15">
        <f t="shared" si="7"/>
        <v>129</v>
      </c>
      <c r="B141" s="16">
        <f t="shared" si="8"/>
        <v>10.75</v>
      </c>
      <c r="C141" s="17">
        <f t="shared" si="9"/>
        <v>314068.71611192438</v>
      </c>
      <c r="D141" s="17">
        <f t="shared" si="10"/>
        <v>392.58589513990546</v>
      </c>
      <c r="E141" s="17">
        <f t="shared" si="11"/>
        <v>3000</v>
      </c>
      <c r="F141" s="17">
        <f t="shared" si="12"/>
        <v>311461.30200706428</v>
      </c>
      <c r="G141" s="37" t="str">
        <f t="shared" si="13"/>
        <v>Activo</v>
      </c>
    </row>
    <row r="142" spans="1:7" x14ac:dyDescent="0.2">
      <c r="A142" s="38">
        <f t="shared" ref="A142:A205" si="14">A141+1</f>
        <v>130</v>
      </c>
      <c r="B142" s="39">
        <f t="shared" ref="B142:B205" si="15">A142/12</f>
        <v>10.833333333333334</v>
      </c>
      <c r="C142" s="40">
        <f t="shared" ref="C142:C205" si="16">F141</f>
        <v>311461.30200706428</v>
      </c>
      <c r="D142" s="40">
        <f t="shared" ref="D142:D205" si="17">IF(C142&gt;0,C142*$B$7/12,0)</f>
        <v>389.32662750883037</v>
      </c>
      <c r="E142" s="40">
        <f t="shared" ref="E142:E205" si="18">IF(C142&gt;0,MIN($B$6,C142+D142),0)</f>
        <v>3000</v>
      </c>
      <c r="F142" s="40">
        <f t="shared" ref="F142:F205" si="19">MAX(0,C142+D142-E142)</f>
        <v>308850.62863457314</v>
      </c>
      <c r="G142" s="41" t="str">
        <f t="shared" ref="G142:G205" si="20">IF(C142=0,"Agotado",IF(F142=0,"Último retiro","Activo"))</f>
        <v>Activo</v>
      </c>
    </row>
    <row r="143" spans="1:7" x14ac:dyDescent="0.2">
      <c r="A143" s="15">
        <f t="shared" si="14"/>
        <v>131</v>
      </c>
      <c r="B143" s="16">
        <f t="shared" si="15"/>
        <v>10.916666666666666</v>
      </c>
      <c r="C143" s="17">
        <f t="shared" si="16"/>
        <v>308850.62863457314</v>
      </c>
      <c r="D143" s="17">
        <f t="shared" si="17"/>
        <v>386.06328579321644</v>
      </c>
      <c r="E143" s="17">
        <f t="shared" si="18"/>
        <v>3000</v>
      </c>
      <c r="F143" s="17">
        <f t="shared" si="19"/>
        <v>306236.69192036637</v>
      </c>
      <c r="G143" s="37" t="str">
        <f t="shared" si="20"/>
        <v>Activo</v>
      </c>
    </row>
    <row r="144" spans="1:7" x14ac:dyDescent="0.2">
      <c r="A144" s="38">
        <f t="shared" si="14"/>
        <v>132</v>
      </c>
      <c r="B144" s="39">
        <f t="shared" si="15"/>
        <v>11</v>
      </c>
      <c r="C144" s="40">
        <f t="shared" si="16"/>
        <v>306236.69192036637</v>
      </c>
      <c r="D144" s="40">
        <f t="shared" si="17"/>
        <v>382.79586490045796</v>
      </c>
      <c r="E144" s="40">
        <f t="shared" si="18"/>
        <v>3000</v>
      </c>
      <c r="F144" s="40">
        <f t="shared" si="19"/>
        <v>303619.48778526683</v>
      </c>
      <c r="G144" s="41" t="str">
        <f t="shared" si="20"/>
        <v>Activo</v>
      </c>
    </row>
    <row r="145" spans="1:7" x14ac:dyDescent="0.2">
      <c r="A145" s="15">
        <f t="shared" si="14"/>
        <v>133</v>
      </c>
      <c r="B145" s="16">
        <f t="shared" si="15"/>
        <v>11.083333333333334</v>
      </c>
      <c r="C145" s="17">
        <f t="shared" si="16"/>
        <v>303619.48778526683</v>
      </c>
      <c r="D145" s="17">
        <f t="shared" si="17"/>
        <v>379.5243597315835</v>
      </c>
      <c r="E145" s="17">
        <f t="shared" si="18"/>
        <v>3000</v>
      </c>
      <c r="F145" s="17">
        <f t="shared" si="19"/>
        <v>300999.01214499841</v>
      </c>
      <c r="G145" s="37" t="str">
        <f t="shared" si="20"/>
        <v>Activo</v>
      </c>
    </row>
    <row r="146" spans="1:7" x14ac:dyDescent="0.2">
      <c r="A146" s="38">
        <f t="shared" si="14"/>
        <v>134</v>
      </c>
      <c r="B146" s="39">
        <f t="shared" si="15"/>
        <v>11.166666666666666</v>
      </c>
      <c r="C146" s="40">
        <f t="shared" si="16"/>
        <v>300999.01214499841</v>
      </c>
      <c r="D146" s="40">
        <f t="shared" si="17"/>
        <v>376.24876518124802</v>
      </c>
      <c r="E146" s="40">
        <f t="shared" si="18"/>
        <v>3000</v>
      </c>
      <c r="F146" s="40">
        <f t="shared" si="19"/>
        <v>298375.26091017964</v>
      </c>
      <c r="G146" s="41" t="str">
        <f t="shared" si="20"/>
        <v>Activo</v>
      </c>
    </row>
    <row r="147" spans="1:7" x14ac:dyDescent="0.2">
      <c r="A147" s="15">
        <f t="shared" si="14"/>
        <v>135</v>
      </c>
      <c r="B147" s="16">
        <f t="shared" si="15"/>
        <v>11.25</v>
      </c>
      <c r="C147" s="17">
        <f t="shared" si="16"/>
        <v>298375.26091017964</v>
      </c>
      <c r="D147" s="17">
        <f t="shared" si="17"/>
        <v>372.96907613772458</v>
      </c>
      <c r="E147" s="17">
        <f t="shared" si="18"/>
        <v>3000</v>
      </c>
      <c r="F147" s="17">
        <f t="shared" si="19"/>
        <v>295748.22998631734</v>
      </c>
      <c r="G147" s="37" t="str">
        <f t="shared" si="20"/>
        <v>Activo</v>
      </c>
    </row>
    <row r="148" spans="1:7" x14ac:dyDescent="0.2">
      <c r="A148" s="38">
        <f t="shared" si="14"/>
        <v>136</v>
      </c>
      <c r="B148" s="39">
        <f t="shared" si="15"/>
        <v>11.333333333333334</v>
      </c>
      <c r="C148" s="40">
        <f t="shared" si="16"/>
        <v>295748.22998631734</v>
      </c>
      <c r="D148" s="40">
        <f t="shared" si="17"/>
        <v>369.68528748289668</v>
      </c>
      <c r="E148" s="40">
        <f t="shared" si="18"/>
        <v>3000</v>
      </c>
      <c r="F148" s="40">
        <f t="shared" si="19"/>
        <v>293117.91527380026</v>
      </c>
      <c r="G148" s="41" t="str">
        <f t="shared" si="20"/>
        <v>Activo</v>
      </c>
    </row>
    <row r="149" spans="1:7" x14ac:dyDescent="0.2">
      <c r="A149" s="15">
        <f t="shared" si="14"/>
        <v>137</v>
      </c>
      <c r="B149" s="16">
        <f t="shared" si="15"/>
        <v>11.416666666666666</v>
      </c>
      <c r="C149" s="17">
        <f t="shared" si="16"/>
        <v>293117.91527380026</v>
      </c>
      <c r="D149" s="17">
        <f t="shared" si="17"/>
        <v>366.39739409225029</v>
      </c>
      <c r="E149" s="17">
        <f t="shared" si="18"/>
        <v>3000</v>
      </c>
      <c r="F149" s="17">
        <f t="shared" si="19"/>
        <v>290484.31266789249</v>
      </c>
      <c r="G149" s="37" t="str">
        <f t="shared" si="20"/>
        <v>Activo</v>
      </c>
    </row>
    <row r="150" spans="1:7" x14ac:dyDescent="0.2">
      <c r="A150" s="38">
        <f t="shared" si="14"/>
        <v>138</v>
      </c>
      <c r="B150" s="39">
        <f t="shared" si="15"/>
        <v>11.5</v>
      </c>
      <c r="C150" s="40">
        <f t="shared" si="16"/>
        <v>290484.31266789249</v>
      </c>
      <c r="D150" s="40">
        <f t="shared" si="17"/>
        <v>363.1053908348656</v>
      </c>
      <c r="E150" s="40">
        <f t="shared" si="18"/>
        <v>3000</v>
      </c>
      <c r="F150" s="40">
        <f t="shared" si="19"/>
        <v>287847.41805872734</v>
      </c>
      <c r="G150" s="41" t="str">
        <f t="shared" si="20"/>
        <v>Activo</v>
      </c>
    </row>
    <row r="151" spans="1:7" x14ac:dyDescent="0.2">
      <c r="A151" s="15">
        <f t="shared" si="14"/>
        <v>139</v>
      </c>
      <c r="B151" s="16">
        <f t="shared" si="15"/>
        <v>11.583333333333334</v>
      </c>
      <c r="C151" s="17">
        <f t="shared" si="16"/>
        <v>287847.41805872734</v>
      </c>
      <c r="D151" s="17">
        <f t="shared" si="17"/>
        <v>359.80927257340915</v>
      </c>
      <c r="E151" s="17">
        <f t="shared" si="18"/>
        <v>3000</v>
      </c>
      <c r="F151" s="17">
        <f t="shared" si="19"/>
        <v>285207.22733130073</v>
      </c>
      <c r="G151" s="37" t="str">
        <f t="shared" si="20"/>
        <v>Activo</v>
      </c>
    </row>
    <row r="152" spans="1:7" x14ac:dyDescent="0.2">
      <c r="A152" s="38">
        <f t="shared" si="14"/>
        <v>140</v>
      </c>
      <c r="B152" s="39">
        <f t="shared" si="15"/>
        <v>11.666666666666666</v>
      </c>
      <c r="C152" s="40">
        <f t="shared" si="16"/>
        <v>285207.22733130073</v>
      </c>
      <c r="D152" s="40">
        <f t="shared" si="17"/>
        <v>356.50903416412592</v>
      </c>
      <c r="E152" s="40">
        <f t="shared" si="18"/>
        <v>3000</v>
      </c>
      <c r="F152" s="40">
        <f t="shared" si="19"/>
        <v>282563.73636546487</v>
      </c>
      <c r="G152" s="41" t="str">
        <f t="shared" si="20"/>
        <v>Activo</v>
      </c>
    </row>
    <row r="153" spans="1:7" x14ac:dyDescent="0.2">
      <c r="A153" s="15">
        <f t="shared" si="14"/>
        <v>141</v>
      </c>
      <c r="B153" s="16">
        <f t="shared" si="15"/>
        <v>11.75</v>
      </c>
      <c r="C153" s="17">
        <f t="shared" si="16"/>
        <v>282563.73636546487</v>
      </c>
      <c r="D153" s="17">
        <f t="shared" si="17"/>
        <v>353.20467045683108</v>
      </c>
      <c r="E153" s="17">
        <f t="shared" si="18"/>
        <v>3000</v>
      </c>
      <c r="F153" s="17">
        <f t="shared" si="19"/>
        <v>279916.94103592169</v>
      </c>
      <c r="G153" s="37" t="str">
        <f t="shared" si="20"/>
        <v>Activo</v>
      </c>
    </row>
    <row r="154" spans="1:7" x14ac:dyDescent="0.2">
      <c r="A154" s="38">
        <f t="shared" si="14"/>
        <v>142</v>
      </c>
      <c r="B154" s="39">
        <f t="shared" si="15"/>
        <v>11.833333333333334</v>
      </c>
      <c r="C154" s="40">
        <f t="shared" si="16"/>
        <v>279916.94103592169</v>
      </c>
      <c r="D154" s="40">
        <f t="shared" si="17"/>
        <v>349.89617629490209</v>
      </c>
      <c r="E154" s="40">
        <f t="shared" si="18"/>
        <v>3000</v>
      </c>
      <c r="F154" s="40">
        <f t="shared" si="19"/>
        <v>277266.83721221657</v>
      </c>
      <c r="G154" s="41" t="str">
        <f t="shared" si="20"/>
        <v>Activo</v>
      </c>
    </row>
    <row r="155" spans="1:7" x14ac:dyDescent="0.2">
      <c r="A155" s="15">
        <f t="shared" si="14"/>
        <v>143</v>
      </c>
      <c r="B155" s="16">
        <f t="shared" si="15"/>
        <v>11.916666666666666</v>
      </c>
      <c r="C155" s="17">
        <f t="shared" si="16"/>
        <v>277266.83721221657</v>
      </c>
      <c r="D155" s="17">
        <f t="shared" si="17"/>
        <v>346.58354651527071</v>
      </c>
      <c r="E155" s="17">
        <f t="shared" si="18"/>
        <v>3000</v>
      </c>
      <c r="F155" s="17">
        <f t="shared" si="19"/>
        <v>274613.42075873184</v>
      </c>
      <c r="G155" s="37" t="str">
        <f t="shared" si="20"/>
        <v>Activo</v>
      </c>
    </row>
    <row r="156" spans="1:7" x14ac:dyDescent="0.2">
      <c r="A156" s="38">
        <f t="shared" si="14"/>
        <v>144</v>
      </c>
      <c r="B156" s="39">
        <f t="shared" si="15"/>
        <v>12</v>
      </c>
      <c r="C156" s="40">
        <f t="shared" si="16"/>
        <v>274613.42075873184</v>
      </c>
      <c r="D156" s="40">
        <f t="shared" si="17"/>
        <v>343.26677594841476</v>
      </c>
      <c r="E156" s="40">
        <f t="shared" si="18"/>
        <v>3000</v>
      </c>
      <c r="F156" s="40">
        <f t="shared" si="19"/>
        <v>271956.68753468024</v>
      </c>
      <c r="G156" s="41" t="str">
        <f t="shared" si="20"/>
        <v>Activo</v>
      </c>
    </row>
    <row r="157" spans="1:7" x14ac:dyDescent="0.2">
      <c r="A157" s="15">
        <f t="shared" si="14"/>
        <v>145</v>
      </c>
      <c r="B157" s="16">
        <f t="shared" si="15"/>
        <v>12.083333333333334</v>
      </c>
      <c r="C157" s="17">
        <f t="shared" si="16"/>
        <v>271956.68753468024</v>
      </c>
      <c r="D157" s="17">
        <f t="shared" si="17"/>
        <v>339.94585941835027</v>
      </c>
      <c r="E157" s="17">
        <f t="shared" si="18"/>
        <v>3000</v>
      </c>
      <c r="F157" s="17">
        <f t="shared" si="19"/>
        <v>269296.63339409861</v>
      </c>
      <c r="G157" s="37" t="str">
        <f t="shared" si="20"/>
        <v>Activo</v>
      </c>
    </row>
    <row r="158" spans="1:7" x14ac:dyDescent="0.2">
      <c r="A158" s="38">
        <f t="shared" si="14"/>
        <v>146</v>
      </c>
      <c r="B158" s="39">
        <f t="shared" si="15"/>
        <v>12.166666666666666</v>
      </c>
      <c r="C158" s="40">
        <f t="shared" si="16"/>
        <v>269296.63339409861</v>
      </c>
      <c r="D158" s="40">
        <f t="shared" si="17"/>
        <v>336.62079174262323</v>
      </c>
      <c r="E158" s="40">
        <f t="shared" si="18"/>
        <v>3000</v>
      </c>
      <c r="F158" s="40">
        <f t="shared" si="19"/>
        <v>266633.25418584124</v>
      </c>
      <c r="G158" s="41" t="str">
        <f t="shared" si="20"/>
        <v>Activo</v>
      </c>
    </row>
    <row r="159" spans="1:7" x14ac:dyDescent="0.2">
      <c r="A159" s="15">
        <f t="shared" si="14"/>
        <v>147</v>
      </c>
      <c r="B159" s="16">
        <f t="shared" si="15"/>
        <v>12.25</v>
      </c>
      <c r="C159" s="17">
        <f t="shared" si="16"/>
        <v>266633.25418584124</v>
      </c>
      <c r="D159" s="17">
        <f t="shared" si="17"/>
        <v>333.29156773230153</v>
      </c>
      <c r="E159" s="17">
        <f t="shared" si="18"/>
        <v>3000</v>
      </c>
      <c r="F159" s="17">
        <f t="shared" si="19"/>
        <v>263966.54575357353</v>
      </c>
      <c r="G159" s="37" t="str">
        <f t="shared" si="20"/>
        <v>Activo</v>
      </c>
    </row>
    <row r="160" spans="1:7" x14ac:dyDescent="0.2">
      <c r="A160" s="38">
        <f t="shared" si="14"/>
        <v>148</v>
      </c>
      <c r="B160" s="39">
        <f t="shared" si="15"/>
        <v>12.333333333333334</v>
      </c>
      <c r="C160" s="40">
        <f t="shared" si="16"/>
        <v>263966.54575357353</v>
      </c>
      <c r="D160" s="40">
        <f t="shared" si="17"/>
        <v>329.9581821919669</v>
      </c>
      <c r="E160" s="40">
        <f t="shared" si="18"/>
        <v>3000</v>
      </c>
      <c r="F160" s="40">
        <f t="shared" si="19"/>
        <v>261296.50393576548</v>
      </c>
      <c r="G160" s="41" t="str">
        <f t="shared" si="20"/>
        <v>Activo</v>
      </c>
    </row>
    <row r="161" spans="1:7" x14ac:dyDescent="0.2">
      <c r="A161" s="15">
        <f t="shared" si="14"/>
        <v>149</v>
      </c>
      <c r="B161" s="16">
        <f t="shared" si="15"/>
        <v>12.416666666666666</v>
      </c>
      <c r="C161" s="17">
        <f t="shared" si="16"/>
        <v>261296.50393576548</v>
      </c>
      <c r="D161" s="17">
        <f t="shared" si="17"/>
        <v>326.6206299197068</v>
      </c>
      <c r="E161" s="17">
        <f t="shared" si="18"/>
        <v>3000</v>
      </c>
      <c r="F161" s="17">
        <f t="shared" si="19"/>
        <v>258623.12456568517</v>
      </c>
      <c r="G161" s="37" t="str">
        <f t="shared" si="20"/>
        <v>Activo</v>
      </c>
    </row>
    <row r="162" spans="1:7" x14ac:dyDescent="0.2">
      <c r="A162" s="38">
        <f t="shared" si="14"/>
        <v>150</v>
      </c>
      <c r="B162" s="39">
        <f t="shared" si="15"/>
        <v>12.5</v>
      </c>
      <c r="C162" s="40">
        <f t="shared" si="16"/>
        <v>258623.12456568517</v>
      </c>
      <c r="D162" s="40">
        <f t="shared" si="17"/>
        <v>323.27890570710645</v>
      </c>
      <c r="E162" s="40">
        <f t="shared" si="18"/>
        <v>3000</v>
      </c>
      <c r="F162" s="40">
        <f t="shared" si="19"/>
        <v>255946.40347139229</v>
      </c>
      <c r="G162" s="41" t="str">
        <f t="shared" si="20"/>
        <v>Activo</v>
      </c>
    </row>
    <row r="163" spans="1:7" x14ac:dyDescent="0.2">
      <c r="A163" s="15">
        <f t="shared" si="14"/>
        <v>151</v>
      </c>
      <c r="B163" s="16">
        <f t="shared" si="15"/>
        <v>12.583333333333334</v>
      </c>
      <c r="C163" s="17">
        <f t="shared" si="16"/>
        <v>255946.40347139229</v>
      </c>
      <c r="D163" s="17">
        <f t="shared" si="17"/>
        <v>319.93300433924031</v>
      </c>
      <c r="E163" s="17">
        <f t="shared" si="18"/>
        <v>3000</v>
      </c>
      <c r="F163" s="17">
        <f t="shared" si="19"/>
        <v>253266.33647573154</v>
      </c>
      <c r="G163" s="37" t="str">
        <f t="shared" si="20"/>
        <v>Activo</v>
      </c>
    </row>
    <row r="164" spans="1:7" x14ac:dyDescent="0.2">
      <c r="A164" s="38">
        <f t="shared" si="14"/>
        <v>152</v>
      </c>
      <c r="B164" s="39">
        <f t="shared" si="15"/>
        <v>12.666666666666666</v>
      </c>
      <c r="C164" s="40">
        <f t="shared" si="16"/>
        <v>253266.33647573154</v>
      </c>
      <c r="D164" s="40">
        <f t="shared" si="17"/>
        <v>316.58292059466442</v>
      </c>
      <c r="E164" s="40">
        <f t="shared" si="18"/>
        <v>3000</v>
      </c>
      <c r="F164" s="40">
        <f t="shared" si="19"/>
        <v>250582.91939632621</v>
      </c>
      <c r="G164" s="41" t="str">
        <f t="shared" si="20"/>
        <v>Activo</v>
      </c>
    </row>
    <row r="165" spans="1:7" x14ac:dyDescent="0.2">
      <c r="A165" s="15">
        <f t="shared" si="14"/>
        <v>153</v>
      </c>
      <c r="B165" s="16">
        <f t="shared" si="15"/>
        <v>12.75</v>
      </c>
      <c r="C165" s="17">
        <f t="shared" si="16"/>
        <v>250582.91939632621</v>
      </c>
      <c r="D165" s="17">
        <f t="shared" si="17"/>
        <v>313.22864924540778</v>
      </c>
      <c r="E165" s="17">
        <f t="shared" si="18"/>
        <v>3000</v>
      </c>
      <c r="F165" s="17">
        <f t="shared" si="19"/>
        <v>247896.14804557161</v>
      </c>
      <c r="G165" s="37" t="str">
        <f t="shared" si="20"/>
        <v>Activo</v>
      </c>
    </row>
    <row r="166" spans="1:7" x14ac:dyDescent="0.2">
      <c r="A166" s="38">
        <f t="shared" si="14"/>
        <v>154</v>
      </c>
      <c r="B166" s="39">
        <f t="shared" si="15"/>
        <v>12.833333333333334</v>
      </c>
      <c r="C166" s="40">
        <f t="shared" si="16"/>
        <v>247896.14804557161</v>
      </c>
      <c r="D166" s="40">
        <f t="shared" si="17"/>
        <v>309.87018505696449</v>
      </c>
      <c r="E166" s="40">
        <f t="shared" si="18"/>
        <v>3000</v>
      </c>
      <c r="F166" s="40">
        <f t="shared" si="19"/>
        <v>245206.01823062857</v>
      </c>
      <c r="G166" s="41" t="str">
        <f t="shared" si="20"/>
        <v>Activo</v>
      </c>
    </row>
    <row r="167" spans="1:7" x14ac:dyDescent="0.2">
      <c r="A167" s="15">
        <f t="shared" si="14"/>
        <v>155</v>
      </c>
      <c r="B167" s="16">
        <f t="shared" si="15"/>
        <v>12.916666666666666</v>
      </c>
      <c r="C167" s="17">
        <f t="shared" si="16"/>
        <v>245206.01823062857</v>
      </c>
      <c r="D167" s="17">
        <f t="shared" si="17"/>
        <v>306.50752278828571</v>
      </c>
      <c r="E167" s="17">
        <f t="shared" si="18"/>
        <v>3000</v>
      </c>
      <c r="F167" s="17">
        <f t="shared" si="19"/>
        <v>242512.52575341685</v>
      </c>
      <c r="G167" s="37" t="str">
        <f t="shared" si="20"/>
        <v>Activo</v>
      </c>
    </row>
    <row r="168" spans="1:7" x14ac:dyDescent="0.2">
      <c r="A168" s="38">
        <f t="shared" si="14"/>
        <v>156</v>
      </c>
      <c r="B168" s="39">
        <f t="shared" si="15"/>
        <v>13</v>
      </c>
      <c r="C168" s="40">
        <f t="shared" si="16"/>
        <v>242512.52575341685</v>
      </c>
      <c r="D168" s="40">
        <f t="shared" si="17"/>
        <v>303.14065719177103</v>
      </c>
      <c r="E168" s="40">
        <f t="shared" si="18"/>
        <v>3000</v>
      </c>
      <c r="F168" s="40">
        <f t="shared" si="19"/>
        <v>239815.66641060862</v>
      </c>
      <c r="G168" s="41" t="str">
        <f t="shared" si="20"/>
        <v>Activo</v>
      </c>
    </row>
    <row r="169" spans="1:7" x14ac:dyDescent="0.2">
      <c r="A169" s="15">
        <f t="shared" si="14"/>
        <v>157</v>
      </c>
      <c r="B169" s="16">
        <f t="shared" si="15"/>
        <v>13.083333333333334</v>
      </c>
      <c r="C169" s="17">
        <f t="shared" si="16"/>
        <v>239815.66641060862</v>
      </c>
      <c r="D169" s="17">
        <f t="shared" si="17"/>
        <v>299.76958301326079</v>
      </c>
      <c r="E169" s="17">
        <f t="shared" si="18"/>
        <v>3000</v>
      </c>
      <c r="F169" s="17">
        <f t="shared" si="19"/>
        <v>237115.43599362188</v>
      </c>
      <c r="G169" s="37" t="str">
        <f t="shared" si="20"/>
        <v>Activo</v>
      </c>
    </row>
    <row r="170" spans="1:7" x14ac:dyDescent="0.2">
      <c r="A170" s="38">
        <f t="shared" si="14"/>
        <v>158</v>
      </c>
      <c r="B170" s="39">
        <f t="shared" si="15"/>
        <v>13.166666666666666</v>
      </c>
      <c r="C170" s="40">
        <f t="shared" si="16"/>
        <v>237115.43599362188</v>
      </c>
      <c r="D170" s="40">
        <f t="shared" si="17"/>
        <v>296.39429499202737</v>
      </c>
      <c r="E170" s="40">
        <f t="shared" si="18"/>
        <v>3000</v>
      </c>
      <c r="F170" s="40">
        <f t="shared" si="19"/>
        <v>234411.83028861391</v>
      </c>
      <c r="G170" s="41" t="str">
        <f t="shared" si="20"/>
        <v>Activo</v>
      </c>
    </row>
    <row r="171" spans="1:7" x14ac:dyDescent="0.2">
      <c r="A171" s="15">
        <f t="shared" si="14"/>
        <v>159</v>
      </c>
      <c r="B171" s="16">
        <f t="shared" si="15"/>
        <v>13.25</v>
      </c>
      <c r="C171" s="17">
        <f t="shared" si="16"/>
        <v>234411.83028861391</v>
      </c>
      <c r="D171" s="17">
        <f t="shared" si="17"/>
        <v>293.0147878607674</v>
      </c>
      <c r="E171" s="17">
        <f t="shared" si="18"/>
        <v>3000</v>
      </c>
      <c r="F171" s="17">
        <f t="shared" si="19"/>
        <v>231704.84507647468</v>
      </c>
      <c r="G171" s="37" t="str">
        <f t="shared" si="20"/>
        <v>Activo</v>
      </c>
    </row>
    <row r="172" spans="1:7" x14ac:dyDescent="0.2">
      <c r="A172" s="38">
        <f t="shared" si="14"/>
        <v>160</v>
      </c>
      <c r="B172" s="39">
        <f t="shared" si="15"/>
        <v>13.333333333333334</v>
      </c>
      <c r="C172" s="40">
        <f t="shared" si="16"/>
        <v>231704.84507647468</v>
      </c>
      <c r="D172" s="40">
        <f t="shared" si="17"/>
        <v>289.63105634559332</v>
      </c>
      <c r="E172" s="40">
        <f t="shared" si="18"/>
        <v>3000</v>
      </c>
      <c r="F172" s="40">
        <f t="shared" si="19"/>
        <v>228994.47613282027</v>
      </c>
      <c r="G172" s="41" t="str">
        <f t="shared" si="20"/>
        <v>Activo</v>
      </c>
    </row>
    <row r="173" spans="1:7" x14ac:dyDescent="0.2">
      <c r="A173" s="15">
        <f t="shared" si="14"/>
        <v>161</v>
      </c>
      <c r="B173" s="16">
        <f t="shared" si="15"/>
        <v>13.416666666666666</v>
      </c>
      <c r="C173" s="17">
        <f t="shared" si="16"/>
        <v>228994.47613282027</v>
      </c>
      <c r="D173" s="17">
        <f t="shared" si="17"/>
        <v>286.24309516602534</v>
      </c>
      <c r="E173" s="17">
        <f t="shared" si="18"/>
        <v>3000</v>
      </c>
      <c r="F173" s="17">
        <f t="shared" si="19"/>
        <v>226280.71922798629</v>
      </c>
      <c r="G173" s="37" t="str">
        <f t="shared" si="20"/>
        <v>Activo</v>
      </c>
    </row>
    <row r="174" spans="1:7" x14ac:dyDescent="0.2">
      <c r="A174" s="38">
        <f t="shared" si="14"/>
        <v>162</v>
      </c>
      <c r="B174" s="39">
        <f t="shared" si="15"/>
        <v>13.5</v>
      </c>
      <c r="C174" s="40">
        <f t="shared" si="16"/>
        <v>226280.71922798629</v>
      </c>
      <c r="D174" s="40">
        <f t="shared" si="17"/>
        <v>282.85089903498289</v>
      </c>
      <c r="E174" s="40">
        <f t="shared" si="18"/>
        <v>3000</v>
      </c>
      <c r="F174" s="40">
        <f t="shared" si="19"/>
        <v>223563.57012702129</v>
      </c>
      <c r="G174" s="41" t="str">
        <f t="shared" si="20"/>
        <v>Activo</v>
      </c>
    </row>
    <row r="175" spans="1:7" x14ac:dyDescent="0.2">
      <c r="A175" s="15">
        <f t="shared" si="14"/>
        <v>163</v>
      </c>
      <c r="B175" s="16">
        <f t="shared" si="15"/>
        <v>13.583333333333334</v>
      </c>
      <c r="C175" s="17">
        <f t="shared" si="16"/>
        <v>223563.57012702129</v>
      </c>
      <c r="D175" s="17">
        <f t="shared" si="17"/>
        <v>279.45446265877661</v>
      </c>
      <c r="E175" s="17">
        <f t="shared" si="18"/>
        <v>3000</v>
      </c>
      <c r="F175" s="17">
        <f t="shared" si="19"/>
        <v>220843.02458968008</v>
      </c>
      <c r="G175" s="37" t="str">
        <f t="shared" si="20"/>
        <v>Activo</v>
      </c>
    </row>
    <row r="176" spans="1:7" x14ac:dyDescent="0.2">
      <c r="A176" s="38">
        <f t="shared" si="14"/>
        <v>164</v>
      </c>
      <c r="B176" s="39">
        <f t="shared" si="15"/>
        <v>13.666666666666666</v>
      </c>
      <c r="C176" s="40">
        <f t="shared" si="16"/>
        <v>220843.02458968008</v>
      </c>
      <c r="D176" s="40">
        <f t="shared" si="17"/>
        <v>276.05378073710011</v>
      </c>
      <c r="E176" s="40">
        <f t="shared" si="18"/>
        <v>3000</v>
      </c>
      <c r="F176" s="40">
        <f t="shared" si="19"/>
        <v>218119.07837041718</v>
      </c>
      <c r="G176" s="41" t="str">
        <f t="shared" si="20"/>
        <v>Activo</v>
      </c>
    </row>
    <row r="177" spans="1:7" x14ac:dyDescent="0.2">
      <c r="A177" s="15">
        <f t="shared" si="14"/>
        <v>165</v>
      </c>
      <c r="B177" s="16">
        <f t="shared" si="15"/>
        <v>13.75</v>
      </c>
      <c r="C177" s="17">
        <f t="shared" si="16"/>
        <v>218119.07837041718</v>
      </c>
      <c r="D177" s="17">
        <f t="shared" si="17"/>
        <v>272.64884796302147</v>
      </c>
      <c r="E177" s="17">
        <f t="shared" si="18"/>
        <v>3000</v>
      </c>
      <c r="F177" s="17">
        <f t="shared" si="19"/>
        <v>215391.7272183802</v>
      </c>
      <c r="G177" s="37" t="str">
        <f t="shared" si="20"/>
        <v>Activo</v>
      </c>
    </row>
    <row r="178" spans="1:7" x14ac:dyDescent="0.2">
      <c r="A178" s="38">
        <f t="shared" si="14"/>
        <v>166</v>
      </c>
      <c r="B178" s="39">
        <f t="shared" si="15"/>
        <v>13.833333333333334</v>
      </c>
      <c r="C178" s="40">
        <f t="shared" si="16"/>
        <v>215391.7272183802</v>
      </c>
      <c r="D178" s="40">
        <f t="shared" si="17"/>
        <v>269.23965902297522</v>
      </c>
      <c r="E178" s="40">
        <f t="shared" si="18"/>
        <v>3000</v>
      </c>
      <c r="F178" s="40">
        <f t="shared" si="19"/>
        <v>212660.96687740317</v>
      </c>
      <c r="G178" s="41" t="str">
        <f t="shared" si="20"/>
        <v>Activo</v>
      </c>
    </row>
    <row r="179" spans="1:7" x14ac:dyDescent="0.2">
      <c r="A179" s="15">
        <f t="shared" si="14"/>
        <v>167</v>
      </c>
      <c r="B179" s="16">
        <f t="shared" si="15"/>
        <v>13.916666666666666</v>
      </c>
      <c r="C179" s="17">
        <f t="shared" si="16"/>
        <v>212660.96687740317</v>
      </c>
      <c r="D179" s="17">
        <f t="shared" si="17"/>
        <v>265.82620859675393</v>
      </c>
      <c r="E179" s="17">
        <f t="shared" si="18"/>
        <v>3000</v>
      </c>
      <c r="F179" s="17">
        <f t="shared" si="19"/>
        <v>209926.79308599993</v>
      </c>
      <c r="G179" s="37" t="str">
        <f t="shared" si="20"/>
        <v>Activo</v>
      </c>
    </row>
    <row r="180" spans="1:7" x14ac:dyDescent="0.2">
      <c r="A180" s="38">
        <f t="shared" si="14"/>
        <v>168</v>
      </c>
      <c r="B180" s="39">
        <f t="shared" si="15"/>
        <v>14</v>
      </c>
      <c r="C180" s="40">
        <f t="shared" si="16"/>
        <v>209926.79308599993</v>
      </c>
      <c r="D180" s="40">
        <f t="shared" si="17"/>
        <v>262.40849135749994</v>
      </c>
      <c r="E180" s="40">
        <f t="shared" si="18"/>
        <v>3000</v>
      </c>
      <c r="F180" s="40">
        <f t="shared" si="19"/>
        <v>207189.20157735742</v>
      </c>
      <c r="G180" s="41" t="str">
        <f t="shared" si="20"/>
        <v>Activo</v>
      </c>
    </row>
    <row r="181" spans="1:7" x14ac:dyDescent="0.2">
      <c r="A181" s="15">
        <f t="shared" si="14"/>
        <v>169</v>
      </c>
      <c r="B181" s="16">
        <f t="shared" si="15"/>
        <v>14.083333333333334</v>
      </c>
      <c r="C181" s="17">
        <f t="shared" si="16"/>
        <v>207189.20157735742</v>
      </c>
      <c r="D181" s="17">
        <f t="shared" si="17"/>
        <v>258.98650197169678</v>
      </c>
      <c r="E181" s="17">
        <f t="shared" si="18"/>
        <v>3000</v>
      </c>
      <c r="F181" s="17">
        <f t="shared" si="19"/>
        <v>204448.18807932912</v>
      </c>
      <c r="G181" s="37" t="str">
        <f t="shared" si="20"/>
        <v>Activo</v>
      </c>
    </row>
    <row r="182" spans="1:7" x14ac:dyDescent="0.2">
      <c r="A182" s="38">
        <f t="shared" si="14"/>
        <v>170</v>
      </c>
      <c r="B182" s="39">
        <f t="shared" si="15"/>
        <v>14.166666666666666</v>
      </c>
      <c r="C182" s="40">
        <f t="shared" si="16"/>
        <v>204448.18807932912</v>
      </c>
      <c r="D182" s="40">
        <f t="shared" si="17"/>
        <v>255.56023509916142</v>
      </c>
      <c r="E182" s="40">
        <f t="shared" si="18"/>
        <v>3000</v>
      </c>
      <c r="F182" s="40">
        <f t="shared" si="19"/>
        <v>201703.74831442829</v>
      </c>
      <c r="G182" s="41" t="str">
        <f t="shared" si="20"/>
        <v>Activo</v>
      </c>
    </row>
    <row r="183" spans="1:7" x14ac:dyDescent="0.2">
      <c r="A183" s="15">
        <f t="shared" si="14"/>
        <v>171</v>
      </c>
      <c r="B183" s="16">
        <f t="shared" si="15"/>
        <v>14.25</v>
      </c>
      <c r="C183" s="17">
        <f t="shared" si="16"/>
        <v>201703.74831442829</v>
      </c>
      <c r="D183" s="17">
        <f t="shared" si="17"/>
        <v>252.12968539303537</v>
      </c>
      <c r="E183" s="17">
        <f t="shared" si="18"/>
        <v>3000</v>
      </c>
      <c r="F183" s="17">
        <f t="shared" si="19"/>
        <v>198955.87799982133</v>
      </c>
      <c r="G183" s="37" t="str">
        <f t="shared" si="20"/>
        <v>Activo</v>
      </c>
    </row>
    <row r="184" spans="1:7" x14ac:dyDescent="0.2">
      <c r="A184" s="38">
        <f t="shared" si="14"/>
        <v>172</v>
      </c>
      <c r="B184" s="39">
        <f t="shared" si="15"/>
        <v>14.333333333333334</v>
      </c>
      <c r="C184" s="40">
        <f t="shared" si="16"/>
        <v>198955.87799982133</v>
      </c>
      <c r="D184" s="40">
        <f t="shared" si="17"/>
        <v>248.69484749977664</v>
      </c>
      <c r="E184" s="40">
        <f t="shared" si="18"/>
        <v>3000</v>
      </c>
      <c r="F184" s="40">
        <f t="shared" si="19"/>
        <v>196204.57284732111</v>
      </c>
      <c r="G184" s="41" t="str">
        <f t="shared" si="20"/>
        <v>Activo</v>
      </c>
    </row>
    <row r="185" spans="1:7" x14ac:dyDescent="0.2">
      <c r="A185" s="15">
        <f t="shared" si="14"/>
        <v>173</v>
      </c>
      <c r="B185" s="16">
        <f t="shared" si="15"/>
        <v>14.416666666666666</v>
      </c>
      <c r="C185" s="17">
        <f t="shared" si="16"/>
        <v>196204.57284732111</v>
      </c>
      <c r="D185" s="17">
        <f t="shared" si="17"/>
        <v>245.25571605915138</v>
      </c>
      <c r="E185" s="17">
        <f t="shared" si="18"/>
        <v>3000</v>
      </c>
      <c r="F185" s="17">
        <f t="shared" si="19"/>
        <v>193449.82856338026</v>
      </c>
      <c r="G185" s="37" t="str">
        <f t="shared" si="20"/>
        <v>Activo</v>
      </c>
    </row>
    <row r="186" spans="1:7" x14ac:dyDescent="0.2">
      <c r="A186" s="38">
        <f t="shared" si="14"/>
        <v>174</v>
      </c>
      <c r="B186" s="39">
        <f t="shared" si="15"/>
        <v>14.5</v>
      </c>
      <c r="C186" s="40">
        <f t="shared" si="16"/>
        <v>193449.82856338026</v>
      </c>
      <c r="D186" s="40">
        <f t="shared" si="17"/>
        <v>241.81228570422533</v>
      </c>
      <c r="E186" s="40">
        <f t="shared" si="18"/>
        <v>3000</v>
      </c>
      <c r="F186" s="40">
        <f t="shared" si="19"/>
        <v>190691.64084908448</v>
      </c>
      <c r="G186" s="41" t="str">
        <f t="shared" si="20"/>
        <v>Activo</v>
      </c>
    </row>
    <row r="187" spans="1:7" x14ac:dyDescent="0.2">
      <c r="A187" s="15">
        <f t="shared" si="14"/>
        <v>175</v>
      </c>
      <c r="B187" s="16">
        <f t="shared" si="15"/>
        <v>14.583333333333334</v>
      </c>
      <c r="C187" s="17">
        <f t="shared" si="16"/>
        <v>190691.64084908448</v>
      </c>
      <c r="D187" s="17">
        <f t="shared" si="17"/>
        <v>238.36455106135557</v>
      </c>
      <c r="E187" s="17">
        <f t="shared" si="18"/>
        <v>3000</v>
      </c>
      <c r="F187" s="17">
        <f t="shared" si="19"/>
        <v>187930.00540014583</v>
      </c>
      <c r="G187" s="37" t="str">
        <f t="shared" si="20"/>
        <v>Activo</v>
      </c>
    </row>
    <row r="188" spans="1:7" x14ac:dyDescent="0.2">
      <c r="A188" s="38">
        <f t="shared" si="14"/>
        <v>176</v>
      </c>
      <c r="B188" s="39">
        <f t="shared" si="15"/>
        <v>14.666666666666666</v>
      </c>
      <c r="C188" s="40">
        <f t="shared" si="16"/>
        <v>187930.00540014583</v>
      </c>
      <c r="D188" s="40">
        <f t="shared" si="17"/>
        <v>234.91250675018227</v>
      </c>
      <c r="E188" s="40">
        <f t="shared" si="18"/>
        <v>3000</v>
      </c>
      <c r="F188" s="40">
        <f t="shared" si="19"/>
        <v>185164.91790689601</v>
      </c>
      <c r="G188" s="41" t="str">
        <f t="shared" si="20"/>
        <v>Activo</v>
      </c>
    </row>
    <row r="189" spans="1:7" x14ac:dyDescent="0.2">
      <c r="A189" s="15">
        <f t="shared" si="14"/>
        <v>177</v>
      </c>
      <c r="B189" s="16">
        <f t="shared" si="15"/>
        <v>14.75</v>
      </c>
      <c r="C189" s="17">
        <f t="shared" si="16"/>
        <v>185164.91790689601</v>
      </c>
      <c r="D189" s="17">
        <f t="shared" si="17"/>
        <v>231.45614738361999</v>
      </c>
      <c r="E189" s="17">
        <f t="shared" si="18"/>
        <v>3000</v>
      </c>
      <c r="F189" s="17">
        <f t="shared" si="19"/>
        <v>182396.37405427961</v>
      </c>
      <c r="G189" s="37" t="str">
        <f t="shared" si="20"/>
        <v>Activo</v>
      </c>
    </row>
    <row r="190" spans="1:7" x14ac:dyDescent="0.2">
      <c r="A190" s="38">
        <f t="shared" si="14"/>
        <v>178</v>
      </c>
      <c r="B190" s="39">
        <f t="shared" si="15"/>
        <v>14.833333333333334</v>
      </c>
      <c r="C190" s="40">
        <f t="shared" si="16"/>
        <v>182396.37405427961</v>
      </c>
      <c r="D190" s="40">
        <f t="shared" si="17"/>
        <v>227.99546756784949</v>
      </c>
      <c r="E190" s="40">
        <f t="shared" si="18"/>
        <v>3000</v>
      </c>
      <c r="F190" s="40">
        <f t="shared" si="19"/>
        <v>179624.36952184746</v>
      </c>
      <c r="G190" s="41" t="str">
        <f t="shared" si="20"/>
        <v>Activo</v>
      </c>
    </row>
    <row r="191" spans="1:7" x14ac:dyDescent="0.2">
      <c r="A191" s="15">
        <f t="shared" si="14"/>
        <v>179</v>
      </c>
      <c r="B191" s="16">
        <f t="shared" si="15"/>
        <v>14.916666666666666</v>
      </c>
      <c r="C191" s="17">
        <f t="shared" si="16"/>
        <v>179624.36952184746</v>
      </c>
      <c r="D191" s="17">
        <f t="shared" si="17"/>
        <v>224.53046190230933</v>
      </c>
      <c r="E191" s="17">
        <f t="shared" si="18"/>
        <v>3000</v>
      </c>
      <c r="F191" s="17">
        <f t="shared" si="19"/>
        <v>176848.89998374978</v>
      </c>
      <c r="G191" s="37" t="str">
        <f t="shared" si="20"/>
        <v>Activo</v>
      </c>
    </row>
    <row r="192" spans="1:7" x14ac:dyDescent="0.2">
      <c r="A192" s="38">
        <f t="shared" si="14"/>
        <v>180</v>
      </c>
      <c r="B192" s="39">
        <f t="shared" si="15"/>
        <v>15</v>
      </c>
      <c r="C192" s="40">
        <f t="shared" si="16"/>
        <v>176848.89998374978</v>
      </c>
      <c r="D192" s="40">
        <f t="shared" si="17"/>
        <v>221.06112497968721</v>
      </c>
      <c r="E192" s="40">
        <f t="shared" si="18"/>
        <v>3000</v>
      </c>
      <c r="F192" s="40">
        <f t="shared" si="19"/>
        <v>174069.96110872948</v>
      </c>
      <c r="G192" s="41" t="str">
        <f t="shared" si="20"/>
        <v>Activo</v>
      </c>
    </row>
    <row r="193" spans="1:7" x14ac:dyDescent="0.2">
      <c r="A193" s="15">
        <f t="shared" si="14"/>
        <v>181</v>
      </c>
      <c r="B193" s="16">
        <f t="shared" si="15"/>
        <v>15.083333333333334</v>
      </c>
      <c r="C193" s="17">
        <f t="shared" si="16"/>
        <v>174069.96110872948</v>
      </c>
      <c r="D193" s="17">
        <f t="shared" si="17"/>
        <v>217.58745138591186</v>
      </c>
      <c r="E193" s="17">
        <f t="shared" si="18"/>
        <v>3000</v>
      </c>
      <c r="F193" s="17">
        <f t="shared" si="19"/>
        <v>171287.54856011539</v>
      </c>
      <c r="G193" s="37" t="str">
        <f t="shared" si="20"/>
        <v>Activo</v>
      </c>
    </row>
    <row r="194" spans="1:7" x14ac:dyDescent="0.2">
      <c r="A194" s="38">
        <f t="shared" si="14"/>
        <v>182</v>
      </c>
      <c r="B194" s="39">
        <f t="shared" si="15"/>
        <v>15.166666666666666</v>
      </c>
      <c r="C194" s="40">
        <f t="shared" si="16"/>
        <v>171287.54856011539</v>
      </c>
      <c r="D194" s="40">
        <f t="shared" si="17"/>
        <v>214.10943570014422</v>
      </c>
      <c r="E194" s="40">
        <f t="shared" si="18"/>
        <v>3000</v>
      </c>
      <c r="F194" s="40">
        <f t="shared" si="19"/>
        <v>168501.65799581553</v>
      </c>
      <c r="G194" s="41" t="str">
        <f t="shared" si="20"/>
        <v>Activo</v>
      </c>
    </row>
    <row r="195" spans="1:7" x14ac:dyDescent="0.2">
      <c r="A195" s="15">
        <f t="shared" si="14"/>
        <v>183</v>
      </c>
      <c r="B195" s="16">
        <f t="shared" si="15"/>
        <v>15.25</v>
      </c>
      <c r="C195" s="17">
        <f t="shared" si="16"/>
        <v>168501.65799581553</v>
      </c>
      <c r="D195" s="17">
        <f t="shared" si="17"/>
        <v>210.62707249476941</v>
      </c>
      <c r="E195" s="17">
        <f t="shared" si="18"/>
        <v>3000</v>
      </c>
      <c r="F195" s="17">
        <f t="shared" si="19"/>
        <v>165712.2850683103</v>
      </c>
      <c r="G195" s="37" t="str">
        <f t="shared" si="20"/>
        <v>Activo</v>
      </c>
    </row>
    <row r="196" spans="1:7" x14ac:dyDescent="0.2">
      <c r="A196" s="38">
        <f t="shared" si="14"/>
        <v>184</v>
      </c>
      <c r="B196" s="39">
        <f t="shared" si="15"/>
        <v>15.333333333333334</v>
      </c>
      <c r="C196" s="40">
        <f t="shared" si="16"/>
        <v>165712.2850683103</v>
      </c>
      <c r="D196" s="40">
        <f t="shared" si="17"/>
        <v>207.14035633538788</v>
      </c>
      <c r="E196" s="40">
        <f t="shared" si="18"/>
        <v>3000</v>
      </c>
      <c r="F196" s="40">
        <f t="shared" si="19"/>
        <v>162919.42542464568</v>
      </c>
      <c r="G196" s="41" t="str">
        <f t="shared" si="20"/>
        <v>Activo</v>
      </c>
    </row>
    <row r="197" spans="1:7" x14ac:dyDescent="0.2">
      <c r="A197" s="15">
        <f t="shared" si="14"/>
        <v>185</v>
      </c>
      <c r="B197" s="16">
        <f t="shared" si="15"/>
        <v>15.416666666666666</v>
      </c>
      <c r="C197" s="17">
        <f t="shared" si="16"/>
        <v>162919.42542464568</v>
      </c>
      <c r="D197" s="17">
        <f t="shared" si="17"/>
        <v>203.64928178080709</v>
      </c>
      <c r="E197" s="17">
        <f t="shared" si="18"/>
        <v>3000</v>
      </c>
      <c r="F197" s="17">
        <f t="shared" si="19"/>
        <v>160123.0747064265</v>
      </c>
      <c r="G197" s="37" t="str">
        <f t="shared" si="20"/>
        <v>Activo</v>
      </c>
    </row>
    <row r="198" spans="1:7" x14ac:dyDescent="0.2">
      <c r="A198" s="38">
        <f t="shared" si="14"/>
        <v>186</v>
      </c>
      <c r="B198" s="39">
        <f t="shared" si="15"/>
        <v>15.5</v>
      </c>
      <c r="C198" s="40">
        <f t="shared" si="16"/>
        <v>160123.0747064265</v>
      </c>
      <c r="D198" s="40">
        <f t="shared" si="17"/>
        <v>200.15384338303309</v>
      </c>
      <c r="E198" s="40">
        <f t="shared" si="18"/>
        <v>3000</v>
      </c>
      <c r="F198" s="40">
        <f t="shared" si="19"/>
        <v>157323.22854980954</v>
      </c>
      <c r="G198" s="41" t="str">
        <f t="shared" si="20"/>
        <v>Activo</v>
      </c>
    </row>
    <row r="199" spans="1:7" x14ac:dyDescent="0.2">
      <c r="A199" s="15">
        <f t="shared" si="14"/>
        <v>187</v>
      </c>
      <c r="B199" s="16">
        <f t="shared" si="15"/>
        <v>15.583333333333334</v>
      </c>
      <c r="C199" s="17">
        <f t="shared" si="16"/>
        <v>157323.22854980954</v>
      </c>
      <c r="D199" s="17">
        <f t="shared" si="17"/>
        <v>196.65403568726194</v>
      </c>
      <c r="E199" s="17">
        <f t="shared" si="18"/>
        <v>3000</v>
      </c>
      <c r="F199" s="17">
        <f t="shared" si="19"/>
        <v>154519.88258549682</v>
      </c>
      <c r="G199" s="37" t="str">
        <f t="shared" si="20"/>
        <v>Activo</v>
      </c>
    </row>
    <row r="200" spans="1:7" x14ac:dyDescent="0.2">
      <c r="A200" s="38">
        <f t="shared" si="14"/>
        <v>188</v>
      </c>
      <c r="B200" s="39">
        <f t="shared" si="15"/>
        <v>15.666666666666666</v>
      </c>
      <c r="C200" s="40">
        <f t="shared" si="16"/>
        <v>154519.88258549682</v>
      </c>
      <c r="D200" s="40">
        <f t="shared" si="17"/>
        <v>193.14985323187102</v>
      </c>
      <c r="E200" s="40">
        <f t="shared" si="18"/>
        <v>3000</v>
      </c>
      <c r="F200" s="40">
        <f t="shared" si="19"/>
        <v>151713.0324387287</v>
      </c>
      <c r="G200" s="41" t="str">
        <f t="shared" si="20"/>
        <v>Activo</v>
      </c>
    </row>
    <row r="201" spans="1:7" x14ac:dyDescent="0.2">
      <c r="A201" s="15">
        <f t="shared" si="14"/>
        <v>189</v>
      </c>
      <c r="B201" s="16">
        <f t="shared" si="15"/>
        <v>15.75</v>
      </c>
      <c r="C201" s="17">
        <f t="shared" si="16"/>
        <v>151713.0324387287</v>
      </c>
      <c r="D201" s="17">
        <f t="shared" si="17"/>
        <v>189.64129054841086</v>
      </c>
      <c r="E201" s="17">
        <f t="shared" si="18"/>
        <v>3000</v>
      </c>
      <c r="F201" s="17">
        <f t="shared" si="19"/>
        <v>148902.6737292771</v>
      </c>
      <c r="G201" s="37" t="str">
        <f t="shared" si="20"/>
        <v>Activo</v>
      </c>
    </row>
    <row r="202" spans="1:7" x14ac:dyDescent="0.2">
      <c r="A202" s="38">
        <f t="shared" si="14"/>
        <v>190</v>
      </c>
      <c r="B202" s="39">
        <f t="shared" si="15"/>
        <v>15.833333333333334</v>
      </c>
      <c r="C202" s="40">
        <f t="shared" si="16"/>
        <v>148902.6737292771</v>
      </c>
      <c r="D202" s="40">
        <f t="shared" si="17"/>
        <v>186.12834216159638</v>
      </c>
      <c r="E202" s="40">
        <f t="shared" si="18"/>
        <v>3000</v>
      </c>
      <c r="F202" s="40">
        <f t="shared" si="19"/>
        <v>146088.80207143869</v>
      </c>
      <c r="G202" s="41" t="str">
        <f t="shared" si="20"/>
        <v>Activo</v>
      </c>
    </row>
    <row r="203" spans="1:7" x14ac:dyDescent="0.2">
      <c r="A203" s="15">
        <f t="shared" si="14"/>
        <v>191</v>
      </c>
      <c r="B203" s="16">
        <f t="shared" si="15"/>
        <v>15.916666666666666</v>
      </c>
      <c r="C203" s="17">
        <f t="shared" si="16"/>
        <v>146088.80207143869</v>
      </c>
      <c r="D203" s="17">
        <f t="shared" si="17"/>
        <v>182.61100258929835</v>
      </c>
      <c r="E203" s="17">
        <f t="shared" si="18"/>
        <v>3000</v>
      </c>
      <c r="F203" s="17">
        <f t="shared" si="19"/>
        <v>143271.41307402798</v>
      </c>
      <c r="G203" s="37" t="str">
        <f t="shared" si="20"/>
        <v>Activo</v>
      </c>
    </row>
    <row r="204" spans="1:7" x14ac:dyDescent="0.2">
      <c r="A204" s="38">
        <f t="shared" si="14"/>
        <v>192</v>
      </c>
      <c r="B204" s="39">
        <f t="shared" si="15"/>
        <v>16</v>
      </c>
      <c r="C204" s="40">
        <f t="shared" si="16"/>
        <v>143271.41307402798</v>
      </c>
      <c r="D204" s="40">
        <f t="shared" si="17"/>
        <v>179.08926634253498</v>
      </c>
      <c r="E204" s="40">
        <f t="shared" si="18"/>
        <v>3000</v>
      </c>
      <c r="F204" s="40">
        <f t="shared" si="19"/>
        <v>140450.50234037053</v>
      </c>
      <c r="G204" s="41" t="str">
        <f t="shared" si="20"/>
        <v>Activo</v>
      </c>
    </row>
    <row r="205" spans="1:7" x14ac:dyDescent="0.2">
      <c r="A205" s="15">
        <f t="shared" si="14"/>
        <v>193</v>
      </c>
      <c r="B205" s="16">
        <f t="shared" si="15"/>
        <v>16.083333333333332</v>
      </c>
      <c r="C205" s="17">
        <f t="shared" si="16"/>
        <v>140450.50234037053</v>
      </c>
      <c r="D205" s="17">
        <f t="shared" si="17"/>
        <v>175.56312792546316</v>
      </c>
      <c r="E205" s="17">
        <f t="shared" si="18"/>
        <v>3000</v>
      </c>
      <c r="F205" s="17">
        <f t="shared" si="19"/>
        <v>137626.065468296</v>
      </c>
      <c r="G205" s="37" t="str">
        <f t="shared" si="20"/>
        <v>Activo</v>
      </c>
    </row>
    <row r="206" spans="1:7" x14ac:dyDescent="0.2">
      <c r="A206" s="38">
        <f t="shared" ref="A206:A269" si="21">A205+1</f>
        <v>194</v>
      </c>
      <c r="B206" s="39">
        <f t="shared" ref="B206:B269" si="22">A206/12</f>
        <v>16.166666666666668</v>
      </c>
      <c r="C206" s="40">
        <f t="shared" ref="C206:C269" si="23">F205</f>
        <v>137626.065468296</v>
      </c>
      <c r="D206" s="40">
        <f t="shared" ref="D206:D269" si="24">IF(C206&gt;0,C206*$B$7/12,0)</f>
        <v>172.03258183537</v>
      </c>
      <c r="E206" s="40">
        <f t="shared" ref="E206:E269" si="25">IF(C206&gt;0,MIN($B$6,C206+D206),0)</f>
        <v>3000</v>
      </c>
      <c r="F206" s="40">
        <f t="shared" ref="F206:F269" si="26">MAX(0,C206+D206-E206)</f>
        <v>134798.09805013138</v>
      </c>
      <c r="G206" s="41" t="str">
        <f t="shared" ref="G206:G269" si="27">IF(C206=0,"Agotado",IF(F206=0,"Último retiro","Activo"))</f>
        <v>Activo</v>
      </c>
    </row>
    <row r="207" spans="1:7" x14ac:dyDescent="0.2">
      <c r="A207" s="15">
        <f t="shared" si="21"/>
        <v>195</v>
      </c>
      <c r="B207" s="16">
        <f t="shared" si="22"/>
        <v>16.25</v>
      </c>
      <c r="C207" s="17">
        <f t="shared" si="23"/>
        <v>134798.09805013138</v>
      </c>
      <c r="D207" s="17">
        <f t="shared" si="24"/>
        <v>168.49762256266422</v>
      </c>
      <c r="E207" s="17">
        <f t="shared" si="25"/>
        <v>3000</v>
      </c>
      <c r="F207" s="17">
        <f t="shared" si="26"/>
        <v>131966.59567269403</v>
      </c>
      <c r="G207" s="37" t="str">
        <f t="shared" si="27"/>
        <v>Activo</v>
      </c>
    </row>
    <row r="208" spans="1:7" x14ac:dyDescent="0.2">
      <c r="A208" s="38">
        <f t="shared" si="21"/>
        <v>196</v>
      </c>
      <c r="B208" s="39">
        <f t="shared" si="22"/>
        <v>16.333333333333332</v>
      </c>
      <c r="C208" s="40">
        <f t="shared" si="23"/>
        <v>131966.59567269403</v>
      </c>
      <c r="D208" s="40">
        <f t="shared" si="24"/>
        <v>164.95824459086754</v>
      </c>
      <c r="E208" s="40">
        <f t="shared" si="25"/>
        <v>3000</v>
      </c>
      <c r="F208" s="40">
        <f t="shared" si="26"/>
        <v>129131.55391728491</v>
      </c>
      <c r="G208" s="41" t="str">
        <f t="shared" si="27"/>
        <v>Activo</v>
      </c>
    </row>
    <row r="209" spans="1:7" x14ac:dyDescent="0.2">
      <c r="A209" s="15">
        <f t="shared" si="21"/>
        <v>197</v>
      </c>
      <c r="B209" s="16">
        <f t="shared" si="22"/>
        <v>16.416666666666668</v>
      </c>
      <c r="C209" s="17">
        <f t="shared" si="23"/>
        <v>129131.55391728491</v>
      </c>
      <c r="D209" s="17">
        <f t="shared" si="24"/>
        <v>161.41444239660612</v>
      </c>
      <c r="E209" s="17">
        <f t="shared" si="25"/>
        <v>3000</v>
      </c>
      <c r="F209" s="17">
        <f t="shared" si="26"/>
        <v>126292.96835968152</v>
      </c>
      <c r="G209" s="37" t="str">
        <f t="shared" si="27"/>
        <v>Activo</v>
      </c>
    </row>
    <row r="210" spans="1:7" x14ac:dyDescent="0.2">
      <c r="A210" s="38">
        <f t="shared" si="21"/>
        <v>198</v>
      </c>
      <c r="B210" s="39">
        <f t="shared" si="22"/>
        <v>16.5</v>
      </c>
      <c r="C210" s="40">
        <f t="shared" si="23"/>
        <v>126292.96835968152</v>
      </c>
      <c r="D210" s="40">
        <f t="shared" si="24"/>
        <v>157.86621044960188</v>
      </c>
      <c r="E210" s="40">
        <f t="shared" si="25"/>
        <v>3000</v>
      </c>
      <c r="F210" s="40">
        <f t="shared" si="26"/>
        <v>123450.83457013112</v>
      </c>
      <c r="G210" s="41" t="str">
        <f t="shared" si="27"/>
        <v>Activo</v>
      </c>
    </row>
    <row r="211" spans="1:7" x14ac:dyDescent="0.2">
      <c r="A211" s="15">
        <f t="shared" si="21"/>
        <v>199</v>
      </c>
      <c r="B211" s="16">
        <f t="shared" si="22"/>
        <v>16.583333333333332</v>
      </c>
      <c r="C211" s="17">
        <f t="shared" si="23"/>
        <v>123450.83457013112</v>
      </c>
      <c r="D211" s="17">
        <f t="shared" si="24"/>
        <v>154.31354321266389</v>
      </c>
      <c r="E211" s="17">
        <f t="shared" si="25"/>
        <v>3000</v>
      </c>
      <c r="F211" s="17">
        <f t="shared" si="26"/>
        <v>120605.14811334378</v>
      </c>
      <c r="G211" s="37" t="str">
        <f t="shared" si="27"/>
        <v>Activo</v>
      </c>
    </row>
    <row r="212" spans="1:7" x14ac:dyDescent="0.2">
      <c r="A212" s="38">
        <f t="shared" si="21"/>
        <v>200</v>
      </c>
      <c r="B212" s="39">
        <f t="shared" si="22"/>
        <v>16.666666666666668</v>
      </c>
      <c r="C212" s="40">
        <f t="shared" si="23"/>
        <v>120605.14811334378</v>
      </c>
      <c r="D212" s="40">
        <f t="shared" si="24"/>
        <v>150.7564351416797</v>
      </c>
      <c r="E212" s="40">
        <f t="shared" si="25"/>
        <v>3000</v>
      </c>
      <c r="F212" s="40">
        <f t="shared" si="26"/>
        <v>117755.90454848546</v>
      </c>
      <c r="G212" s="41" t="str">
        <f t="shared" si="27"/>
        <v>Activo</v>
      </c>
    </row>
    <row r="213" spans="1:7" x14ac:dyDescent="0.2">
      <c r="A213" s="15">
        <f t="shared" si="21"/>
        <v>201</v>
      </c>
      <c r="B213" s="16">
        <f t="shared" si="22"/>
        <v>16.75</v>
      </c>
      <c r="C213" s="17">
        <f t="shared" si="23"/>
        <v>117755.90454848546</v>
      </c>
      <c r="D213" s="17">
        <f t="shared" si="24"/>
        <v>147.19488068560682</v>
      </c>
      <c r="E213" s="17">
        <f t="shared" si="25"/>
        <v>3000</v>
      </c>
      <c r="F213" s="17">
        <f t="shared" si="26"/>
        <v>114903.09942917107</v>
      </c>
      <c r="G213" s="37" t="str">
        <f t="shared" si="27"/>
        <v>Activo</v>
      </c>
    </row>
    <row r="214" spans="1:7" x14ac:dyDescent="0.2">
      <c r="A214" s="38">
        <f t="shared" si="21"/>
        <v>202</v>
      </c>
      <c r="B214" s="39">
        <f t="shared" si="22"/>
        <v>16.833333333333332</v>
      </c>
      <c r="C214" s="40">
        <f t="shared" si="23"/>
        <v>114903.09942917107</v>
      </c>
      <c r="D214" s="40">
        <f t="shared" si="24"/>
        <v>143.62887428646383</v>
      </c>
      <c r="E214" s="40">
        <f t="shared" si="25"/>
        <v>3000</v>
      </c>
      <c r="F214" s="40">
        <f t="shared" si="26"/>
        <v>112046.72830345754</v>
      </c>
      <c r="G214" s="41" t="str">
        <f t="shared" si="27"/>
        <v>Activo</v>
      </c>
    </row>
    <row r="215" spans="1:7" x14ac:dyDescent="0.2">
      <c r="A215" s="15">
        <f t="shared" si="21"/>
        <v>203</v>
      </c>
      <c r="B215" s="16">
        <f t="shared" si="22"/>
        <v>16.916666666666668</v>
      </c>
      <c r="C215" s="17">
        <f t="shared" si="23"/>
        <v>112046.72830345754</v>
      </c>
      <c r="D215" s="17">
        <f t="shared" si="24"/>
        <v>140.05841037932191</v>
      </c>
      <c r="E215" s="17">
        <f t="shared" si="25"/>
        <v>3000</v>
      </c>
      <c r="F215" s="17">
        <f t="shared" si="26"/>
        <v>109186.78671383686</v>
      </c>
      <c r="G215" s="37" t="str">
        <f t="shared" si="27"/>
        <v>Activo</v>
      </c>
    </row>
    <row r="216" spans="1:7" x14ac:dyDescent="0.2">
      <c r="A216" s="38">
        <f t="shared" si="21"/>
        <v>204</v>
      </c>
      <c r="B216" s="39">
        <f t="shared" si="22"/>
        <v>17</v>
      </c>
      <c r="C216" s="40">
        <f t="shared" si="23"/>
        <v>109186.78671383686</v>
      </c>
      <c r="D216" s="40">
        <f t="shared" si="24"/>
        <v>136.48348339229605</v>
      </c>
      <c r="E216" s="40">
        <f t="shared" si="25"/>
        <v>3000</v>
      </c>
      <c r="F216" s="40">
        <f t="shared" si="26"/>
        <v>106323.27019722915</v>
      </c>
      <c r="G216" s="41" t="str">
        <f t="shared" si="27"/>
        <v>Activo</v>
      </c>
    </row>
    <row r="217" spans="1:7" x14ac:dyDescent="0.2">
      <c r="A217" s="15">
        <f t="shared" si="21"/>
        <v>205</v>
      </c>
      <c r="B217" s="16">
        <f t="shared" si="22"/>
        <v>17.083333333333332</v>
      </c>
      <c r="C217" s="17">
        <f t="shared" si="23"/>
        <v>106323.27019722915</v>
      </c>
      <c r="D217" s="17">
        <f t="shared" si="24"/>
        <v>132.90408774653645</v>
      </c>
      <c r="E217" s="17">
        <f t="shared" si="25"/>
        <v>3000</v>
      </c>
      <c r="F217" s="17">
        <f t="shared" si="26"/>
        <v>103456.17428497568</v>
      </c>
      <c r="G217" s="37" t="str">
        <f t="shared" si="27"/>
        <v>Activo</v>
      </c>
    </row>
    <row r="218" spans="1:7" x14ac:dyDescent="0.2">
      <c r="A218" s="38">
        <f t="shared" si="21"/>
        <v>206</v>
      </c>
      <c r="B218" s="39">
        <f t="shared" si="22"/>
        <v>17.166666666666668</v>
      </c>
      <c r="C218" s="40">
        <f t="shared" si="23"/>
        <v>103456.17428497568</v>
      </c>
      <c r="D218" s="40">
        <f t="shared" si="24"/>
        <v>129.32021785621961</v>
      </c>
      <c r="E218" s="40">
        <f t="shared" si="25"/>
        <v>3000</v>
      </c>
      <c r="F218" s="40">
        <f t="shared" si="26"/>
        <v>100585.49450283191</v>
      </c>
      <c r="G218" s="41" t="str">
        <f t="shared" si="27"/>
        <v>Activo</v>
      </c>
    </row>
    <row r="219" spans="1:7" x14ac:dyDescent="0.2">
      <c r="A219" s="15">
        <f t="shared" si="21"/>
        <v>207</v>
      </c>
      <c r="B219" s="16">
        <f t="shared" si="22"/>
        <v>17.25</v>
      </c>
      <c r="C219" s="17">
        <f t="shared" si="23"/>
        <v>100585.49450283191</v>
      </c>
      <c r="D219" s="17">
        <f t="shared" si="24"/>
        <v>125.73186812853987</v>
      </c>
      <c r="E219" s="17">
        <f t="shared" si="25"/>
        <v>3000</v>
      </c>
      <c r="F219" s="17">
        <f t="shared" si="26"/>
        <v>97711.226370960445</v>
      </c>
      <c r="G219" s="37" t="str">
        <f t="shared" si="27"/>
        <v>Activo</v>
      </c>
    </row>
    <row r="220" spans="1:7" x14ac:dyDescent="0.2">
      <c r="A220" s="38">
        <f t="shared" si="21"/>
        <v>208</v>
      </c>
      <c r="B220" s="39">
        <f t="shared" si="22"/>
        <v>17.333333333333332</v>
      </c>
      <c r="C220" s="40">
        <f t="shared" si="23"/>
        <v>97711.226370960445</v>
      </c>
      <c r="D220" s="40">
        <f t="shared" si="24"/>
        <v>122.13903296370056</v>
      </c>
      <c r="E220" s="40">
        <f t="shared" si="25"/>
        <v>3000</v>
      </c>
      <c r="F220" s="40">
        <f t="shared" si="26"/>
        <v>94833.365403924152</v>
      </c>
      <c r="G220" s="41" t="str">
        <f t="shared" si="27"/>
        <v>Activo</v>
      </c>
    </row>
    <row r="221" spans="1:7" x14ac:dyDescent="0.2">
      <c r="A221" s="15">
        <f t="shared" si="21"/>
        <v>209</v>
      </c>
      <c r="B221" s="16">
        <f t="shared" si="22"/>
        <v>17.416666666666668</v>
      </c>
      <c r="C221" s="17">
        <f t="shared" si="23"/>
        <v>94833.365403924152</v>
      </c>
      <c r="D221" s="17">
        <f t="shared" si="24"/>
        <v>118.54170675490519</v>
      </c>
      <c r="E221" s="17">
        <f t="shared" si="25"/>
        <v>3000</v>
      </c>
      <c r="F221" s="17">
        <f t="shared" si="26"/>
        <v>91951.907110679051</v>
      </c>
      <c r="G221" s="37" t="str">
        <f t="shared" si="27"/>
        <v>Activo</v>
      </c>
    </row>
    <row r="222" spans="1:7" x14ac:dyDescent="0.2">
      <c r="A222" s="38">
        <f t="shared" si="21"/>
        <v>210</v>
      </c>
      <c r="B222" s="39">
        <f t="shared" si="22"/>
        <v>17.5</v>
      </c>
      <c r="C222" s="40">
        <f t="shared" si="23"/>
        <v>91951.907110679051</v>
      </c>
      <c r="D222" s="40">
        <f t="shared" si="24"/>
        <v>114.9398838883488</v>
      </c>
      <c r="E222" s="40">
        <f t="shared" si="25"/>
        <v>3000</v>
      </c>
      <c r="F222" s="40">
        <f t="shared" si="26"/>
        <v>89066.846994567401</v>
      </c>
      <c r="G222" s="41" t="str">
        <f t="shared" si="27"/>
        <v>Activo</v>
      </c>
    </row>
    <row r="223" spans="1:7" x14ac:dyDescent="0.2">
      <c r="A223" s="15">
        <f t="shared" si="21"/>
        <v>211</v>
      </c>
      <c r="B223" s="16">
        <f t="shared" si="22"/>
        <v>17.583333333333332</v>
      </c>
      <c r="C223" s="17">
        <f t="shared" si="23"/>
        <v>89066.846994567401</v>
      </c>
      <c r="D223" s="17">
        <f t="shared" si="24"/>
        <v>111.33355874320925</v>
      </c>
      <c r="E223" s="17">
        <f t="shared" si="25"/>
        <v>3000</v>
      </c>
      <c r="F223" s="17">
        <f t="shared" si="26"/>
        <v>86178.180553310609</v>
      </c>
      <c r="G223" s="37" t="str">
        <f t="shared" si="27"/>
        <v>Activo</v>
      </c>
    </row>
    <row r="224" spans="1:7" x14ac:dyDescent="0.2">
      <c r="A224" s="38">
        <f t="shared" si="21"/>
        <v>212</v>
      </c>
      <c r="B224" s="39">
        <f t="shared" si="22"/>
        <v>17.666666666666668</v>
      </c>
      <c r="C224" s="40">
        <f t="shared" si="23"/>
        <v>86178.180553310609</v>
      </c>
      <c r="D224" s="40">
        <f t="shared" si="24"/>
        <v>107.72272569163825</v>
      </c>
      <c r="E224" s="40">
        <f t="shared" si="25"/>
        <v>3000</v>
      </c>
      <c r="F224" s="40">
        <f t="shared" si="26"/>
        <v>83285.903279002247</v>
      </c>
      <c r="G224" s="41" t="str">
        <f t="shared" si="27"/>
        <v>Activo</v>
      </c>
    </row>
    <row r="225" spans="1:7" x14ac:dyDescent="0.2">
      <c r="A225" s="15">
        <f t="shared" si="21"/>
        <v>213</v>
      </c>
      <c r="B225" s="16">
        <f t="shared" si="22"/>
        <v>17.75</v>
      </c>
      <c r="C225" s="17">
        <f t="shared" si="23"/>
        <v>83285.903279002247</v>
      </c>
      <c r="D225" s="17">
        <f t="shared" si="24"/>
        <v>104.1073790987528</v>
      </c>
      <c r="E225" s="17">
        <f t="shared" si="25"/>
        <v>3000</v>
      </c>
      <c r="F225" s="17">
        <f t="shared" si="26"/>
        <v>80390.010658101004</v>
      </c>
      <c r="G225" s="37" t="str">
        <f t="shared" si="27"/>
        <v>Activo</v>
      </c>
    </row>
    <row r="226" spans="1:7" x14ac:dyDescent="0.2">
      <c r="A226" s="38">
        <f t="shared" si="21"/>
        <v>214</v>
      </c>
      <c r="B226" s="39">
        <f t="shared" si="22"/>
        <v>17.833333333333332</v>
      </c>
      <c r="C226" s="40">
        <f t="shared" si="23"/>
        <v>80390.010658101004</v>
      </c>
      <c r="D226" s="40">
        <f t="shared" si="24"/>
        <v>100.48751332262624</v>
      </c>
      <c r="E226" s="40">
        <f t="shared" si="25"/>
        <v>3000</v>
      </c>
      <c r="F226" s="40">
        <f t="shared" si="26"/>
        <v>77490.498171423635</v>
      </c>
      <c r="G226" s="41" t="str">
        <f t="shared" si="27"/>
        <v>Activo</v>
      </c>
    </row>
    <row r="227" spans="1:7" x14ac:dyDescent="0.2">
      <c r="A227" s="15">
        <f t="shared" si="21"/>
        <v>215</v>
      </c>
      <c r="B227" s="16">
        <f t="shared" si="22"/>
        <v>17.916666666666668</v>
      </c>
      <c r="C227" s="17">
        <f t="shared" si="23"/>
        <v>77490.498171423635</v>
      </c>
      <c r="D227" s="17">
        <f t="shared" si="24"/>
        <v>96.863122714279541</v>
      </c>
      <c r="E227" s="17">
        <f t="shared" si="25"/>
        <v>3000</v>
      </c>
      <c r="F227" s="17">
        <f t="shared" si="26"/>
        <v>74587.361294137911</v>
      </c>
      <c r="G227" s="37" t="str">
        <f t="shared" si="27"/>
        <v>Activo</v>
      </c>
    </row>
    <row r="228" spans="1:7" x14ac:dyDescent="0.2">
      <c r="A228" s="38">
        <f t="shared" si="21"/>
        <v>216</v>
      </c>
      <c r="B228" s="39">
        <f t="shared" si="22"/>
        <v>18</v>
      </c>
      <c r="C228" s="40">
        <f t="shared" si="23"/>
        <v>74587.361294137911</v>
      </c>
      <c r="D228" s="40">
        <f t="shared" si="24"/>
        <v>93.234201617672383</v>
      </c>
      <c r="E228" s="40">
        <f t="shared" si="25"/>
        <v>3000</v>
      </c>
      <c r="F228" s="40">
        <f t="shared" si="26"/>
        <v>71680.59549575558</v>
      </c>
      <c r="G228" s="41" t="str">
        <f t="shared" si="27"/>
        <v>Activo</v>
      </c>
    </row>
    <row r="229" spans="1:7" x14ac:dyDescent="0.2">
      <c r="A229" s="15">
        <f t="shared" si="21"/>
        <v>217</v>
      </c>
      <c r="B229" s="16">
        <f t="shared" si="22"/>
        <v>18.083333333333332</v>
      </c>
      <c r="C229" s="17">
        <f t="shared" si="23"/>
        <v>71680.59549575558</v>
      </c>
      <c r="D229" s="17">
        <f t="shared" si="24"/>
        <v>89.600744369694482</v>
      </c>
      <c r="E229" s="17">
        <f t="shared" si="25"/>
        <v>3000</v>
      </c>
      <c r="F229" s="17">
        <f t="shared" si="26"/>
        <v>68770.196240125282</v>
      </c>
      <c r="G229" s="37" t="str">
        <f t="shared" si="27"/>
        <v>Activo</v>
      </c>
    </row>
    <row r="230" spans="1:7" x14ac:dyDescent="0.2">
      <c r="A230" s="38">
        <f t="shared" si="21"/>
        <v>218</v>
      </c>
      <c r="B230" s="39">
        <f t="shared" si="22"/>
        <v>18.166666666666668</v>
      </c>
      <c r="C230" s="40">
        <f t="shared" si="23"/>
        <v>68770.196240125282</v>
      </c>
      <c r="D230" s="40">
        <f t="shared" si="24"/>
        <v>85.962745300156598</v>
      </c>
      <c r="E230" s="40">
        <f t="shared" si="25"/>
        <v>3000</v>
      </c>
      <c r="F230" s="40">
        <f t="shared" si="26"/>
        <v>65856.158985425442</v>
      </c>
      <c r="G230" s="41" t="str">
        <f t="shared" si="27"/>
        <v>Activo</v>
      </c>
    </row>
    <row r="231" spans="1:7" x14ac:dyDescent="0.2">
      <c r="A231" s="15">
        <f t="shared" si="21"/>
        <v>219</v>
      </c>
      <c r="B231" s="16">
        <f t="shared" si="22"/>
        <v>18.25</v>
      </c>
      <c r="C231" s="17">
        <f t="shared" si="23"/>
        <v>65856.158985425442</v>
      </c>
      <c r="D231" s="17">
        <f t="shared" si="24"/>
        <v>82.320198731781801</v>
      </c>
      <c r="E231" s="17">
        <f t="shared" si="25"/>
        <v>3000</v>
      </c>
      <c r="F231" s="17">
        <f t="shared" si="26"/>
        <v>62938.47918415723</v>
      </c>
      <c r="G231" s="37" t="str">
        <f t="shared" si="27"/>
        <v>Activo</v>
      </c>
    </row>
    <row r="232" spans="1:7" x14ac:dyDescent="0.2">
      <c r="A232" s="38">
        <f t="shared" si="21"/>
        <v>220</v>
      </c>
      <c r="B232" s="39">
        <f t="shared" si="22"/>
        <v>18.333333333333332</v>
      </c>
      <c r="C232" s="40">
        <f t="shared" si="23"/>
        <v>62938.47918415723</v>
      </c>
      <c r="D232" s="40">
        <f t="shared" si="24"/>
        <v>78.673098980196542</v>
      </c>
      <c r="E232" s="40">
        <f t="shared" si="25"/>
        <v>3000</v>
      </c>
      <c r="F232" s="40">
        <f t="shared" si="26"/>
        <v>60017.152283137424</v>
      </c>
      <c r="G232" s="41" t="str">
        <f t="shared" si="27"/>
        <v>Activo</v>
      </c>
    </row>
    <row r="233" spans="1:7" x14ac:dyDescent="0.2">
      <c r="A233" s="15">
        <f t="shared" si="21"/>
        <v>221</v>
      </c>
      <c r="B233" s="16">
        <f t="shared" si="22"/>
        <v>18.416666666666668</v>
      </c>
      <c r="C233" s="17">
        <f t="shared" si="23"/>
        <v>60017.152283137424</v>
      </c>
      <c r="D233" s="17">
        <f t="shared" si="24"/>
        <v>75.021440353921776</v>
      </c>
      <c r="E233" s="17">
        <f t="shared" si="25"/>
        <v>3000</v>
      </c>
      <c r="F233" s="17">
        <f t="shared" si="26"/>
        <v>57092.173723491345</v>
      </c>
      <c r="G233" s="37" t="str">
        <f t="shared" si="27"/>
        <v>Activo</v>
      </c>
    </row>
    <row r="234" spans="1:7" x14ac:dyDescent="0.2">
      <c r="A234" s="38">
        <f t="shared" si="21"/>
        <v>222</v>
      </c>
      <c r="B234" s="39">
        <f t="shared" si="22"/>
        <v>18.5</v>
      </c>
      <c r="C234" s="40">
        <f t="shared" si="23"/>
        <v>57092.173723491345</v>
      </c>
      <c r="D234" s="40">
        <f t="shared" si="24"/>
        <v>71.365217154364174</v>
      </c>
      <c r="E234" s="40">
        <f t="shared" si="25"/>
        <v>3000</v>
      </c>
      <c r="F234" s="40">
        <f t="shared" si="26"/>
        <v>54163.538940645711</v>
      </c>
      <c r="G234" s="41" t="str">
        <f t="shared" si="27"/>
        <v>Activo</v>
      </c>
    </row>
    <row r="235" spans="1:7" x14ac:dyDescent="0.2">
      <c r="A235" s="15">
        <f t="shared" si="21"/>
        <v>223</v>
      </c>
      <c r="B235" s="16">
        <f t="shared" si="22"/>
        <v>18.583333333333332</v>
      </c>
      <c r="C235" s="17">
        <f t="shared" si="23"/>
        <v>54163.538940645711</v>
      </c>
      <c r="D235" s="17">
        <f t="shared" si="24"/>
        <v>67.704423675807135</v>
      </c>
      <c r="E235" s="17">
        <f t="shared" si="25"/>
        <v>3000</v>
      </c>
      <c r="F235" s="17">
        <f t="shared" si="26"/>
        <v>51231.243364321519</v>
      </c>
      <c r="G235" s="37" t="str">
        <f t="shared" si="27"/>
        <v>Activo</v>
      </c>
    </row>
    <row r="236" spans="1:7" x14ac:dyDescent="0.2">
      <c r="A236" s="38">
        <f t="shared" si="21"/>
        <v>224</v>
      </c>
      <c r="B236" s="39">
        <f t="shared" si="22"/>
        <v>18.666666666666668</v>
      </c>
      <c r="C236" s="40">
        <f t="shared" si="23"/>
        <v>51231.243364321519</v>
      </c>
      <c r="D236" s="40">
        <f t="shared" si="24"/>
        <v>64.039054205401897</v>
      </c>
      <c r="E236" s="40">
        <f t="shared" si="25"/>
        <v>3000</v>
      </c>
      <c r="F236" s="40">
        <f t="shared" si="26"/>
        <v>48295.28241852692</v>
      </c>
      <c r="G236" s="41" t="str">
        <f t="shared" si="27"/>
        <v>Activo</v>
      </c>
    </row>
    <row r="237" spans="1:7" x14ac:dyDescent="0.2">
      <c r="A237" s="15">
        <f t="shared" si="21"/>
        <v>225</v>
      </c>
      <c r="B237" s="16">
        <f t="shared" si="22"/>
        <v>18.75</v>
      </c>
      <c r="C237" s="17">
        <f t="shared" si="23"/>
        <v>48295.28241852692</v>
      </c>
      <c r="D237" s="17">
        <f t="shared" si="24"/>
        <v>60.369103023158651</v>
      </c>
      <c r="E237" s="17">
        <f t="shared" si="25"/>
        <v>3000</v>
      </c>
      <c r="F237" s="17">
        <f t="shared" si="26"/>
        <v>45355.651521550077</v>
      </c>
      <c r="G237" s="37" t="str">
        <f t="shared" si="27"/>
        <v>Activo</v>
      </c>
    </row>
    <row r="238" spans="1:7" x14ac:dyDescent="0.2">
      <c r="A238" s="38">
        <f t="shared" si="21"/>
        <v>226</v>
      </c>
      <c r="B238" s="39">
        <f t="shared" si="22"/>
        <v>18.833333333333332</v>
      </c>
      <c r="C238" s="40">
        <f t="shared" si="23"/>
        <v>45355.651521550077</v>
      </c>
      <c r="D238" s="40">
        <f t="shared" si="24"/>
        <v>56.694564401937591</v>
      </c>
      <c r="E238" s="40">
        <f t="shared" si="25"/>
        <v>3000</v>
      </c>
      <c r="F238" s="40">
        <f t="shared" si="26"/>
        <v>42412.346085952013</v>
      </c>
      <c r="G238" s="41" t="str">
        <f t="shared" si="27"/>
        <v>Activo</v>
      </c>
    </row>
    <row r="239" spans="1:7" x14ac:dyDescent="0.2">
      <c r="A239" s="15">
        <f t="shared" si="21"/>
        <v>227</v>
      </c>
      <c r="B239" s="16">
        <f t="shared" si="22"/>
        <v>18.916666666666668</v>
      </c>
      <c r="C239" s="17">
        <f t="shared" si="23"/>
        <v>42412.346085952013</v>
      </c>
      <c r="D239" s="17">
        <f t="shared" si="24"/>
        <v>53.015432607440012</v>
      </c>
      <c r="E239" s="17">
        <f t="shared" si="25"/>
        <v>3000</v>
      </c>
      <c r="F239" s="17">
        <f t="shared" si="26"/>
        <v>39465.361518559454</v>
      </c>
      <c r="G239" s="37" t="str">
        <f t="shared" si="27"/>
        <v>Activo</v>
      </c>
    </row>
    <row r="240" spans="1:7" x14ac:dyDescent="0.2">
      <c r="A240" s="38">
        <f t="shared" si="21"/>
        <v>228</v>
      </c>
      <c r="B240" s="39">
        <f t="shared" si="22"/>
        <v>19</v>
      </c>
      <c r="C240" s="40">
        <f t="shared" si="23"/>
        <v>39465.361518559454</v>
      </c>
      <c r="D240" s="40">
        <f t="shared" si="24"/>
        <v>49.33170189819932</v>
      </c>
      <c r="E240" s="40">
        <f t="shared" si="25"/>
        <v>3000</v>
      </c>
      <c r="F240" s="40">
        <f t="shared" si="26"/>
        <v>36514.693220457651</v>
      </c>
      <c r="G240" s="41" t="str">
        <f t="shared" si="27"/>
        <v>Activo</v>
      </c>
    </row>
    <row r="241" spans="1:7" x14ac:dyDescent="0.2">
      <c r="A241" s="15">
        <f t="shared" si="21"/>
        <v>229</v>
      </c>
      <c r="B241" s="16">
        <f t="shared" si="22"/>
        <v>19.083333333333332</v>
      </c>
      <c r="C241" s="17">
        <f t="shared" si="23"/>
        <v>36514.693220457651</v>
      </c>
      <c r="D241" s="17">
        <f t="shared" si="24"/>
        <v>45.64336652557207</v>
      </c>
      <c r="E241" s="17">
        <f t="shared" si="25"/>
        <v>3000</v>
      </c>
      <c r="F241" s="17">
        <f t="shared" si="26"/>
        <v>33560.336586983227</v>
      </c>
      <c r="G241" s="37" t="str">
        <f t="shared" si="27"/>
        <v>Activo</v>
      </c>
    </row>
    <row r="242" spans="1:7" x14ac:dyDescent="0.2">
      <c r="A242" s="38">
        <f t="shared" si="21"/>
        <v>230</v>
      </c>
      <c r="B242" s="39">
        <f t="shared" si="22"/>
        <v>19.166666666666668</v>
      </c>
      <c r="C242" s="40">
        <f t="shared" si="23"/>
        <v>33560.336586983227</v>
      </c>
      <c r="D242" s="40">
        <f t="shared" si="24"/>
        <v>41.950420733729032</v>
      </c>
      <c r="E242" s="40">
        <f t="shared" si="25"/>
        <v>3000</v>
      </c>
      <c r="F242" s="40">
        <f t="shared" si="26"/>
        <v>30602.287007716957</v>
      </c>
      <c r="G242" s="41" t="str">
        <f t="shared" si="27"/>
        <v>Activo</v>
      </c>
    </row>
    <row r="243" spans="1:7" x14ac:dyDescent="0.2">
      <c r="A243" s="15">
        <f t="shared" si="21"/>
        <v>231</v>
      </c>
      <c r="B243" s="16">
        <f t="shared" si="22"/>
        <v>19.25</v>
      </c>
      <c r="C243" s="17">
        <f t="shared" si="23"/>
        <v>30602.287007716957</v>
      </c>
      <c r="D243" s="17">
        <f t="shared" si="24"/>
        <v>38.252858759646195</v>
      </c>
      <c r="E243" s="17">
        <f t="shared" si="25"/>
        <v>3000</v>
      </c>
      <c r="F243" s="17">
        <f t="shared" si="26"/>
        <v>27640.539866476603</v>
      </c>
      <c r="G243" s="37" t="str">
        <f t="shared" si="27"/>
        <v>Activo</v>
      </c>
    </row>
    <row r="244" spans="1:7" x14ac:dyDescent="0.2">
      <c r="A244" s="38">
        <f t="shared" si="21"/>
        <v>232</v>
      </c>
      <c r="B244" s="39">
        <f t="shared" si="22"/>
        <v>19.333333333333332</v>
      </c>
      <c r="C244" s="40">
        <f t="shared" si="23"/>
        <v>27640.539866476603</v>
      </c>
      <c r="D244" s="40">
        <f t="shared" si="24"/>
        <v>34.550674833095755</v>
      </c>
      <c r="E244" s="40">
        <f t="shared" si="25"/>
        <v>3000</v>
      </c>
      <c r="F244" s="40">
        <f t="shared" si="26"/>
        <v>24675.090541309699</v>
      </c>
      <c r="G244" s="41" t="str">
        <f t="shared" si="27"/>
        <v>Activo</v>
      </c>
    </row>
    <row r="245" spans="1:7" x14ac:dyDescent="0.2">
      <c r="A245" s="15">
        <f t="shared" si="21"/>
        <v>233</v>
      </c>
      <c r="B245" s="16">
        <f t="shared" si="22"/>
        <v>19.416666666666668</v>
      </c>
      <c r="C245" s="17">
        <f t="shared" si="23"/>
        <v>24675.090541309699</v>
      </c>
      <c r="D245" s="17">
        <f t="shared" si="24"/>
        <v>30.843863176637125</v>
      </c>
      <c r="E245" s="17">
        <f t="shared" si="25"/>
        <v>3000</v>
      </c>
      <c r="F245" s="17">
        <f t="shared" si="26"/>
        <v>21705.934404486336</v>
      </c>
      <c r="G245" s="37" t="str">
        <f t="shared" si="27"/>
        <v>Activo</v>
      </c>
    </row>
    <row r="246" spans="1:7" x14ac:dyDescent="0.2">
      <c r="A246" s="38">
        <f t="shared" si="21"/>
        <v>234</v>
      </c>
      <c r="B246" s="39">
        <f t="shared" si="22"/>
        <v>19.5</v>
      </c>
      <c r="C246" s="40">
        <f t="shared" si="23"/>
        <v>21705.934404486336</v>
      </c>
      <c r="D246" s="40">
        <f t="shared" si="24"/>
        <v>27.132418005607917</v>
      </c>
      <c r="E246" s="40">
        <f t="shared" si="25"/>
        <v>3000</v>
      </c>
      <c r="F246" s="40">
        <f t="shared" si="26"/>
        <v>18733.066822491943</v>
      </c>
      <c r="G246" s="41" t="str">
        <f t="shared" si="27"/>
        <v>Activo</v>
      </c>
    </row>
    <row r="247" spans="1:7" x14ac:dyDescent="0.2">
      <c r="A247" s="15">
        <f t="shared" si="21"/>
        <v>235</v>
      </c>
      <c r="B247" s="16">
        <f t="shared" si="22"/>
        <v>19.583333333333332</v>
      </c>
      <c r="C247" s="17">
        <f t="shared" si="23"/>
        <v>18733.066822491943</v>
      </c>
      <c r="D247" s="17">
        <f t="shared" si="24"/>
        <v>23.416333528114929</v>
      </c>
      <c r="E247" s="17">
        <f t="shared" si="25"/>
        <v>3000</v>
      </c>
      <c r="F247" s="17">
        <f t="shared" si="26"/>
        <v>15756.483156020058</v>
      </c>
      <c r="G247" s="37" t="str">
        <f t="shared" si="27"/>
        <v>Activo</v>
      </c>
    </row>
    <row r="248" spans="1:7" x14ac:dyDescent="0.2">
      <c r="A248" s="38">
        <f t="shared" si="21"/>
        <v>236</v>
      </c>
      <c r="B248" s="39">
        <f t="shared" si="22"/>
        <v>19.666666666666668</v>
      </c>
      <c r="C248" s="40">
        <f t="shared" si="23"/>
        <v>15756.483156020058</v>
      </c>
      <c r="D248" s="40">
        <f t="shared" si="24"/>
        <v>19.695603945025074</v>
      </c>
      <c r="E248" s="40">
        <f t="shared" si="25"/>
        <v>3000</v>
      </c>
      <c r="F248" s="40">
        <f t="shared" si="26"/>
        <v>12776.178759965083</v>
      </c>
      <c r="G248" s="41" t="str">
        <f t="shared" si="27"/>
        <v>Activo</v>
      </c>
    </row>
    <row r="249" spans="1:7" x14ac:dyDescent="0.2">
      <c r="A249" s="15">
        <f t="shared" si="21"/>
        <v>237</v>
      </c>
      <c r="B249" s="16">
        <f t="shared" si="22"/>
        <v>19.75</v>
      </c>
      <c r="C249" s="17">
        <f t="shared" si="23"/>
        <v>12776.178759965083</v>
      </c>
      <c r="D249" s="17">
        <f t="shared" si="24"/>
        <v>15.970223449956352</v>
      </c>
      <c r="E249" s="17">
        <f t="shared" si="25"/>
        <v>3000</v>
      </c>
      <c r="F249" s="17">
        <f t="shared" si="26"/>
        <v>9792.1489834150398</v>
      </c>
      <c r="G249" s="37" t="str">
        <f t="shared" si="27"/>
        <v>Activo</v>
      </c>
    </row>
    <row r="250" spans="1:7" x14ac:dyDescent="0.2">
      <c r="A250" s="38">
        <f t="shared" si="21"/>
        <v>238</v>
      </c>
      <c r="B250" s="39">
        <f t="shared" si="22"/>
        <v>19.833333333333332</v>
      </c>
      <c r="C250" s="40">
        <f t="shared" si="23"/>
        <v>9792.1489834150398</v>
      </c>
      <c r="D250" s="40">
        <f t="shared" si="24"/>
        <v>12.240186229268799</v>
      </c>
      <c r="E250" s="40">
        <f t="shared" si="25"/>
        <v>3000</v>
      </c>
      <c r="F250" s="40">
        <f t="shared" si="26"/>
        <v>6804.3891696443079</v>
      </c>
      <c r="G250" s="41" t="str">
        <f t="shared" si="27"/>
        <v>Activo</v>
      </c>
    </row>
    <row r="251" spans="1:7" x14ac:dyDescent="0.2">
      <c r="A251" s="15">
        <f t="shared" si="21"/>
        <v>239</v>
      </c>
      <c r="B251" s="16">
        <f t="shared" si="22"/>
        <v>19.916666666666668</v>
      </c>
      <c r="C251" s="17">
        <f t="shared" si="23"/>
        <v>6804.3891696443079</v>
      </c>
      <c r="D251" s="17">
        <f t="shared" si="24"/>
        <v>8.5054864620553854</v>
      </c>
      <c r="E251" s="17">
        <f t="shared" si="25"/>
        <v>3000</v>
      </c>
      <c r="F251" s="17">
        <f t="shared" si="26"/>
        <v>3812.8946561063631</v>
      </c>
      <c r="G251" s="37" t="str">
        <f t="shared" si="27"/>
        <v>Activo</v>
      </c>
    </row>
    <row r="252" spans="1:7" x14ac:dyDescent="0.2">
      <c r="A252" s="38">
        <f t="shared" si="21"/>
        <v>240</v>
      </c>
      <c r="B252" s="39">
        <f t="shared" si="22"/>
        <v>20</v>
      </c>
      <c r="C252" s="40">
        <f t="shared" si="23"/>
        <v>3812.8946561063631</v>
      </c>
      <c r="D252" s="40">
        <f t="shared" si="24"/>
        <v>4.7661183201329536</v>
      </c>
      <c r="E252" s="40">
        <f t="shared" si="25"/>
        <v>3000</v>
      </c>
      <c r="F252" s="40">
        <f t="shared" si="26"/>
        <v>817.66077442649612</v>
      </c>
      <c r="G252" s="41" t="str">
        <f t="shared" si="27"/>
        <v>Activo</v>
      </c>
    </row>
    <row r="253" spans="1:7" x14ac:dyDescent="0.2">
      <c r="A253" s="15">
        <f t="shared" si="21"/>
        <v>241</v>
      </c>
      <c r="B253" s="16">
        <f t="shared" si="22"/>
        <v>20.083333333333332</v>
      </c>
      <c r="C253" s="17">
        <f t="shared" si="23"/>
        <v>817.66077442649612</v>
      </c>
      <c r="D253" s="17">
        <f t="shared" si="24"/>
        <v>1.0220759680331202</v>
      </c>
      <c r="E253" s="17">
        <f t="shared" si="25"/>
        <v>818.68285039452928</v>
      </c>
      <c r="F253" s="17">
        <f t="shared" si="26"/>
        <v>0</v>
      </c>
      <c r="G253" s="37" t="str">
        <f t="shared" si="27"/>
        <v>Último retiro</v>
      </c>
    </row>
    <row r="254" spans="1:7" x14ac:dyDescent="0.2">
      <c r="A254" s="38">
        <f t="shared" si="21"/>
        <v>242</v>
      </c>
      <c r="B254" s="39">
        <f t="shared" si="22"/>
        <v>20.166666666666668</v>
      </c>
      <c r="C254" s="40">
        <f t="shared" si="23"/>
        <v>0</v>
      </c>
      <c r="D254" s="40">
        <f t="shared" si="24"/>
        <v>0</v>
      </c>
      <c r="E254" s="40">
        <f t="shared" si="25"/>
        <v>0</v>
      </c>
      <c r="F254" s="40">
        <f t="shared" si="26"/>
        <v>0</v>
      </c>
      <c r="G254" s="41" t="str">
        <f t="shared" si="27"/>
        <v>Agotado</v>
      </c>
    </row>
    <row r="255" spans="1:7" x14ac:dyDescent="0.2">
      <c r="A255" s="15">
        <f t="shared" si="21"/>
        <v>243</v>
      </c>
      <c r="B255" s="16">
        <f t="shared" si="22"/>
        <v>20.25</v>
      </c>
      <c r="C255" s="17">
        <f t="shared" si="23"/>
        <v>0</v>
      </c>
      <c r="D255" s="17">
        <f t="shared" si="24"/>
        <v>0</v>
      </c>
      <c r="E255" s="17">
        <f t="shared" si="25"/>
        <v>0</v>
      </c>
      <c r="F255" s="17">
        <f t="shared" si="26"/>
        <v>0</v>
      </c>
      <c r="G255" s="37" t="str">
        <f t="shared" si="27"/>
        <v>Agotado</v>
      </c>
    </row>
    <row r="256" spans="1:7" x14ac:dyDescent="0.2">
      <c r="A256" s="38">
        <f t="shared" si="21"/>
        <v>244</v>
      </c>
      <c r="B256" s="39">
        <f t="shared" si="22"/>
        <v>20.333333333333332</v>
      </c>
      <c r="C256" s="40">
        <f t="shared" si="23"/>
        <v>0</v>
      </c>
      <c r="D256" s="40">
        <f t="shared" si="24"/>
        <v>0</v>
      </c>
      <c r="E256" s="40">
        <f t="shared" si="25"/>
        <v>0</v>
      </c>
      <c r="F256" s="40">
        <f t="shared" si="26"/>
        <v>0</v>
      </c>
      <c r="G256" s="41" t="str">
        <f t="shared" si="27"/>
        <v>Agotado</v>
      </c>
    </row>
    <row r="257" spans="1:7" x14ac:dyDescent="0.2">
      <c r="A257" s="15">
        <f t="shared" si="21"/>
        <v>245</v>
      </c>
      <c r="B257" s="16">
        <f t="shared" si="22"/>
        <v>20.416666666666668</v>
      </c>
      <c r="C257" s="17">
        <f t="shared" si="23"/>
        <v>0</v>
      </c>
      <c r="D257" s="17">
        <f t="shared" si="24"/>
        <v>0</v>
      </c>
      <c r="E257" s="17">
        <f t="shared" si="25"/>
        <v>0</v>
      </c>
      <c r="F257" s="17">
        <f t="shared" si="26"/>
        <v>0</v>
      </c>
      <c r="G257" s="37" t="str">
        <f t="shared" si="27"/>
        <v>Agotado</v>
      </c>
    </row>
    <row r="258" spans="1:7" x14ac:dyDescent="0.2">
      <c r="A258" s="38">
        <f t="shared" si="21"/>
        <v>246</v>
      </c>
      <c r="B258" s="39">
        <f t="shared" si="22"/>
        <v>20.5</v>
      </c>
      <c r="C258" s="40">
        <f t="shared" si="23"/>
        <v>0</v>
      </c>
      <c r="D258" s="40">
        <f t="shared" si="24"/>
        <v>0</v>
      </c>
      <c r="E258" s="40">
        <f t="shared" si="25"/>
        <v>0</v>
      </c>
      <c r="F258" s="40">
        <f t="shared" si="26"/>
        <v>0</v>
      </c>
      <c r="G258" s="41" t="str">
        <f t="shared" si="27"/>
        <v>Agotado</v>
      </c>
    </row>
    <row r="259" spans="1:7" x14ac:dyDescent="0.2">
      <c r="A259" s="15">
        <f t="shared" si="21"/>
        <v>247</v>
      </c>
      <c r="B259" s="16">
        <f t="shared" si="22"/>
        <v>20.583333333333332</v>
      </c>
      <c r="C259" s="17">
        <f t="shared" si="23"/>
        <v>0</v>
      </c>
      <c r="D259" s="17">
        <f t="shared" si="24"/>
        <v>0</v>
      </c>
      <c r="E259" s="17">
        <f t="shared" si="25"/>
        <v>0</v>
      </c>
      <c r="F259" s="17">
        <f t="shared" si="26"/>
        <v>0</v>
      </c>
      <c r="G259" s="37" t="str">
        <f t="shared" si="27"/>
        <v>Agotado</v>
      </c>
    </row>
    <row r="260" spans="1:7" x14ac:dyDescent="0.2">
      <c r="A260" s="38">
        <f t="shared" si="21"/>
        <v>248</v>
      </c>
      <c r="B260" s="39">
        <f t="shared" si="22"/>
        <v>20.666666666666668</v>
      </c>
      <c r="C260" s="40">
        <f t="shared" si="23"/>
        <v>0</v>
      </c>
      <c r="D260" s="40">
        <f t="shared" si="24"/>
        <v>0</v>
      </c>
      <c r="E260" s="40">
        <f t="shared" si="25"/>
        <v>0</v>
      </c>
      <c r="F260" s="40">
        <f t="shared" si="26"/>
        <v>0</v>
      </c>
      <c r="G260" s="41" t="str">
        <f t="shared" si="27"/>
        <v>Agotado</v>
      </c>
    </row>
    <row r="261" spans="1:7" x14ac:dyDescent="0.2">
      <c r="A261" s="15">
        <f t="shared" si="21"/>
        <v>249</v>
      </c>
      <c r="B261" s="16">
        <f t="shared" si="22"/>
        <v>20.75</v>
      </c>
      <c r="C261" s="17">
        <f t="shared" si="23"/>
        <v>0</v>
      </c>
      <c r="D261" s="17">
        <f t="shared" si="24"/>
        <v>0</v>
      </c>
      <c r="E261" s="17">
        <f t="shared" si="25"/>
        <v>0</v>
      </c>
      <c r="F261" s="17">
        <f t="shared" si="26"/>
        <v>0</v>
      </c>
      <c r="G261" s="37" t="str">
        <f t="shared" si="27"/>
        <v>Agotado</v>
      </c>
    </row>
    <row r="262" spans="1:7" x14ac:dyDescent="0.2">
      <c r="A262" s="38">
        <f t="shared" si="21"/>
        <v>250</v>
      </c>
      <c r="B262" s="39">
        <f t="shared" si="22"/>
        <v>20.833333333333332</v>
      </c>
      <c r="C262" s="40">
        <f t="shared" si="23"/>
        <v>0</v>
      </c>
      <c r="D262" s="40">
        <f t="shared" si="24"/>
        <v>0</v>
      </c>
      <c r="E262" s="40">
        <f t="shared" si="25"/>
        <v>0</v>
      </c>
      <c r="F262" s="40">
        <f t="shared" si="26"/>
        <v>0</v>
      </c>
      <c r="G262" s="41" t="str">
        <f t="shared" si="27"/>
        <v>Agotado</v>
      </c>
    </row>
    <row r="263" spans="1:7" x14ac:dyDescent="0.2">
      <c r="A263" s="15">
        <f t="shared" si="21"/>
        <v>251</v>
      </c>
      <c r="B263" s="16">
        <f t="shared" si="22"/>
        <v>20.916666666666668</v>
      </c>
      <c r="C263" s="17">
        <f t="shared" si="23"/>
        <v>0</v>
      </c>
      <c r="D263" s="17">
        <f t="shared" si="24"/>
        <v>0</v>
      </c>
      <c r="E263" s="17">
        <f t="shared" si="25"/>
        <v>0</v>
      </c>
      <c r="F263" s="17">
        <f t="shared" si="26"/>
        <v>0</v>
      </c>
      <c r="G263" s="37" t="str">
        <f t="shared" si="27"/>
        <v>Agotado</v>
      </c>
    </row>
    <row r="264" spans="1:7" x14ac:dyDescent="0.2">
      <c r="A264" s="38">
        <f t="shared" si="21"/>
        <v>252</v>
      </c>
      <c r="B264" s="39">
        <f t="shared" si="22"/>
        <v>21</v>
      </c>
      <c r="C264" s="40">
        <f t="shared" si="23"/>
        <v>0</v>
      </c>
      <c r="D264" s="40">
        <f t="shared" si="24"/>
        <v>0</v>
      </c>
      <c r="E264" s="40">
        <f t="shared" si="25"/>
        <v>0</v>
      </c>
      <c r="F264" s="40">
        <f t="shared" si="26"/>
        <v>0</v>
      </c>
      <c r="G264" s="41" t="str">
        <f t="shared" si="27"/>
        <v>Agotado</v>
      </c>
    </row>
    <row r="265" spans="1:7" x14ac:dyDescent="0.2">
      <c r="A265" s="15">
        <f t="shared" si="21"/>
        <v>253</v>
      </c>
      <c r="B265" s="16">
        <f t="shared" si="22"/>
        <v>21.083333333333332</v>
      </c>
      <c r="C265" s="17">
        <f t="shared" si="23"/>
        <v>0</v>
      </c>
      <c r="D265" s="17">
        <f t="shared" si="24"/>
        <v>0</v>
      </c>
      <c r="E265" s="17">
        <f t="shared" si="25"/>
        <v>0</v>
      </c>
      <c r="F265" s="17">
        <f t="shared" si="26"/>
        <v>0</v>
      </c>
      <c r="G265" s="37" t="str">
        <f t="shared" si="27"/>
        <v>Agotado</v>
      </c>
    </row>
    <row r="266" spans="1:7" x14ac:dyDescent="0.2">
      <c r="A266" s="38">
        <f t="shared" si="21"/>
        <v>254</v>
      </c>
      <c r="B266" s="39">
        <f t="shared" si="22"/>
        <v>21.166666666666668</v>
      </c>
      <c r="C266" s="40">
        <f t="shared" si="23"/>
        <v>0</v>
      </c>
      <c r="D266" s="40">
        <f t="shared" si="24"/>
        <v>0</v>
      </c>
      <c r="E266" s="40">
        <f t="shared" si="25"/>
        <v>0</v>
      </c>
      <c r="F266" s="40">
        <f t="shared" si="26"/>
        <v>0</v>
      </c>
      <c r="G266" s="41" t="str">
        <f t="shared" si="27"/>
        <v>Agotado</v>
      </c>
    </row>
    <row r="267" spans="1:7" x14ac:dyDescent="0.2">
      <c r="A267" s="15">
        <f t="shared" si="21"/>
        <v>255</v>
      </c>
      <c r="B267" s="16">
        <f t="shared" si="22"/>
        <v>21.25</v>
      </c>
      <c r="C267" s="17">
        <f t="shared" si="23"/>
        <v>0</v>
      </c>
      <c r="D267" s="17">
        <f t="shared" si="24"/>
        <v>0</v>
      </c>
      <c r="E267" s="17">
        <f t="shared" si="25"/>
        <v>0</v>
      </c>
      <c r="F267" s="17">
        <f t="shared" si="26"/>
        <v>0</v>
      </c>
      <c r="G267" s="37" t="str">
        <f t="shared" si="27"/>
        <v>Agotado</v>
      </c>
    </row>
    <row r="268" spans="1:7" x14ac:dyDescent="0.2">
      <c r="A268" s="38">
        <f t="shared" si="21"/>
        <v>256</v>
      </c>
      <c r="B268" s="39">
        <f t="shared" si="22"/>
        <v>21.333333333333332</v>
      </c>
      <c r="C268" s="40">
        <f t="shared" si="23"/>
        <v>0</v>
      </c>
      <c r="D268" s="40">
        <f t="shared" si="24"/>
        <v>0</v>
      </c>
      <c r="E268" s="40">
        <f t="shared" si="25"/>
        <v>0</v>
      </c>
      <c r="F268" s="40">
        <f t="shared" si="26"/>
        <v>0</v>
      </c>
      <c r="G268" s="41" t="str">
        <f t="shared" si="27"/>
        <v>Agotado</v>
      </c>
    </row>
    <row r="269" spans="1:7" x14ac:dyDescent="0.2">
      <c r="A269" s="15">
        <f t="shared" si="21"/>
        <v>257</v>
      </c>
      <c r="B269" s="16">
        <f t="shared" si="22"/>
        <v>21.416666666666668</v>
      </c>
      <c r="C269" s="17">
        <f t="shared" si="23"/>
        <v>0</v>
      </c>
      <c r="D269" s="17">
        <f t="shared" si="24"/>
        <v>0</v>
      </c>
      <c r="E269" s="17">
        <f t="shared" si="25"/>
        <v>0</v>
      </c>
      <c r="F269" s="17">
        <f t="shared" si="26"/>
        <v>0</v>
      </c>
      <c r="G269" s="37" t="str">
        <f t="shared" si="27"/>
        <v>Agotado</v>
      </c>
    </row>
    <row r="270" spans="1:7" x14ac:dyDescent="0.2">
      <c r="A270" s="38">
        <f t="shared" ref="A270:A333" si="28">A269+1</f>
        <v>258</v>
      </c>
      <c r="B270" s="39">
        <f t="shared" ref="B270:B333" si="29">A270/12</f>
        <v>21.5</v>
      </c>
      <c r="C270" s="40">
        <f t="shared" ref="C270:C333" si="30">F269</f>
        <v>0</v>
      </c>
      <c r="D270" s="40">
        <f t="shared" ref="D270:D333" si="31">IF(C270&gt;0,C270*$B$7/12,0)</f>
        <v>0</v>
      </c>
      <c r="E270" s="40">
        <f t="shared" ref="E270:E333" si="32">IF(C270&gt;0,MIN($B$6,C270+D270),0)</f>
        <v>0</v>
      </c>
      <c r="F270" s="40">
        <f t="shared" ref="F270:F333" si="33">MAX(0,C270+D270-E270)</f>
        <v>0</v>
      </c>
      <c r="G270" s="41" t="str">
        <f t="shared" ref="G270:G333" si="34">IF(C270=0,"Agotado",IF(F270=0,"Último retiro","Activo"))</f>
        <v>Agotado</v>
      </c>
    </row>
    <row r="271" spans="1:7" x14ac:dyDescent="0.2">
      <c r="A271" s="15">
        <f t="shared" si="28"/>
        <v>259</v>
      </c>
      <c r="B271" s="16">
        <f t="shared" si="29"/>
        <v>21.583333333333332</v>
      </c>
      <c r="C271" s="17">
        <f t="shared" si="30"/>
        <v>0</v>
      </c>
      <c r="D271" s="17">
        <f t="shared" si="31"/>
        <v>0</v>
      </c>
      <c r="E271" s="17">
        <f t="shared" si="32"/>
        <v>0</v>
      </c>
      <c r="F271" s="17">
        <f t="shared" si="33"/>
        <v>0</v>
      </c>
      <c r="G271" s="37" t="str">
        <f t="shared" si="34"/>
        <v>Agotado</v>
      </c>
    </row>
    <row r="272" spans="1:7" x14ac:dyDescent="0.2">
      <c r="A272" s="38">
        <f t="shared" si="28"/>
        <v>260</v>
      </c>
      <c r="B272" s="39">
        <f t="shared" si="29"/>
        <v>21.666666666666668</v>
      </c>
      <c r="C272" s="40">
        <f t="shared" si="30"/>
        <v>0</v>
      </c>
      <c r="D272" s="40">
        <f t="shared" si="31"/>
        <v>0</v>
      </c>
      <c r="E272" s="40">
        <f t="shared" si="32"/>
        <v>0</v>
      </c>
      <c r="F272" s="40">
        <f t="shared" si="33"/>
        <v>0</v>
      </c>
      <c r="G272" s="41" t="str">
        <f t="shared" si="34"/>
        <v>Agotado</v>
      </c>
    </row>
    <row r="273" spans="1:7" x14ac:dyDescent="0.2">
      <c r="A273" s="15">
        <f t="shared" si="28"/>
        <v>261</v>
      </c>
      <c r="B273" s="16">
        <f t="shared" si="29"/>
        <v>21.75</v>
      </c>
      <c r="C273" s="17">
        <f t="shared" si="30"/>
        <v>0</v>
      </c>
      <c r="D273" s="17">
        <f t="shared" si="31"/>
        <v>0</v>
      </c>
      <c r="E273" s="17">
        <f t="shared" si="32"/>
        <v>0</v>
      </c>
      <c r="F273" s="17">
        <f t="shared" si="33"/>
        <v>0</v>
      </c>
      <c r="G273" s="37" t="str">
        <f t="shared" si="34"/>
        <v>Agotado</v>
      </c>
    </row>
    <row r="274" spans="1:7" x14ac:dyDescent="0.2">
      <c r="A274" s="38">
        <f t="shared" si="28"/>
        <v>262</v>
      </c>
      <c r="B274" s="39">
        <f t="shared" si="29"/>
        <v>21.833333333333332</v>
      </c>
      <c r="C274" s="40">
        <f t="shared" si="30"/>
        <v>0</v>
      </c>
      <c r="D274" s="40">
        <f t="shared" si="31"/>
        <v>0</v>
      </c>
      <c r="E274" s="40">
        <f t="shared" si="32"/>
        <v>0</v>
      </c>
      <c r="F274" s="40">
        <f t="shared" si="33"/>
        <v>0</v>
      </c>
      <c r="G274" s="41" t="str">
        <f t="shared" si="34"/>
        <v>Agotado</v>
      </c>
    </row>
    <row r="275" spans="1:7" x14ac:dyDescent="0.2">
      <c r="A275" s="15">
        <f t="shared" si="28"/>
        <v>263</v>
      </c>
      <c r="B275" s="16">
        <f t="shared" si="29"/>
        <v>21.916666666666668</v>
      </c>
      <c r="C275" s="17">
        <f t="shared" si="30"/>
        <v>0</v>
      </c>
      <c r="D275" s="17">
        <f t="shared" si="31"/>
        <v>0</v>
      </c>
      <c r="E275" s="17">
        <f t="shared" si="32"/>
        <v>0</v>
      </c>
      <c r="F275" s="17">
        <f t="shared" si="33"/>
        <v>0</v>
      </c>
      <c r="G275" s="37" t="str">
        <f t="shared" si="34"/>
        <v>Agotado</v>
      </c>
    </row>
    <row r="276" spans="1:7" x14ac:dyDescent="0.2">
      <c r="A276" s="38">
        <f t="shared" si="28"/>
        <v>264</v>
      </c>
      <c r="B276" s="39">
        <f t="shared" si="29"/>
        <v>22</v>
      </c>
      <c r="C276" s="40">
        <f t="shared" si="30"/>
        <v>0</v>
      </c>
      <c r="D276" s="40">
        <f t="shared" si="31"/>
        <v>0</v>
      </c>
      <c r="E276" s="40">
        <f t="shared" si="32"/>
        <v>0</v>
      </c>
      <c r="F276" s="40">
        <f t="shared" si="33"/>
        <v>0</v>
      </c>
      <c r="G276" s="41" t="str">
        <f t="shared" si="34"/>
        <v>Agotado</v>
      </c>
    </row>
    <row r="277" spans="1:7" x14ac:dyDescent="0.2">
      <c r="A277" s="15">
        <f t="shared" si="28"/>
        <v>265</v>
      </c>
      <c r="B277" s="16">
        <f t="shared" si="29"/>
        <v>22.083333333333332</v>
      </c>
      <c r="C277" s="17">
        <f t="shared" si="30"/>
        <v>0</v>
      </c>
      <c r="D277" s="17">
        <f t="shared" si="31"/>
        <v>0</v>
      </c>
      <c r="E277" s="17">
        <f t="shared" si="32"/>
        <v>0</v>
      </c>
      <c r="F277" s="17">
        <f t="shared" si="33"/>
        <v>0</v>
      </c>
      <c r="G277" s="37" t="str">
        <f t="shared" si="34"/>
        <v>Agotado</v>
      </c>
    </row>
    <row r="278" spans="1:7" x14ac:dyDescent="0.2">
      <c r="A278" s="38">
        <f t="shared" si="28"/>
        <v>266</v>
      </c>
      <c r="B278" s="39">
        <f t="shared" si="29"/>
        <v>22.166666666666668</v>
      </c>
      <c r="C278" s="40">
        <f t="shared" si="30"/>
        <v>0</v>
      </c>
      <c r="D278" s="40">
        <f t="shared" si="31"/>
        <v>0</v>
      </c>
      <c r="E278" s="40">
        <f t="shared" si="32"/>
        <v>0</v>
      </c>
      <c r="F278" s="40">
        <f t="shared" si="33"/>
        <v>0</v>
      </c>
      <c r="G278" s="41" t="str">
        <f t="shared" si="34"/>
        <v>Agotado</v>
      </c>
    </row>
    <row r="279" spans="1:7" x14ac:dyDescent="0.2">
      <c r="A279" s="15">
        <f t="shared" si="28"/>
        <v>267</v>
      </c>
      <c r="B279" s="16">
        <f t="shared" si="29"/>
        <v>22.25</v>
      </c>
      <c r="C279" s="17">
        <f t="shared" si="30"/>
        <v>0</v>
      </c>
      <c r="D279" s="17">
        <f t="shared" si="31"/>
        <v>0</v>
      </c>
      <c r="E279" s="17">
        <f t="shared" si="32"/>
        <v>0</v>
      </c>
      <c r="F279" s="17">
        <f t="shared" si="33"/>
        <v>0</v>
      </c>
      <c r="G279" s="37" t="str">
        <f t="shared" si="34"/>
        <v>Agotado</v>
      </c>
    </row>
    <row r="280" spans="1:7" x14ac:dyDescent="0.2">
      <c r="A280" s="38">
        <f t="shared" si="28"/>
        <v>268</v>
      </c>
      <c r="B280" s="39">
        <f t="shared" si="29"/>
        <v>22.333333333333332</v>
      </c>
      <c r="C280" s="40">
        <f t="shared" si="30"/>
        <v>0</v>
      </c>
      <c r="D280" s="40">
        <f t="shared" si="31"/>
        <v>0</v>
      </c>
      <c r="E280" s="40">
        <f t="shared" si="32"/>
        <v>0</v>
      </c>
      <c r="F280" s="40">
        <f t="shared" si="33"/>
        <v>0</v>
      </c>
      <c r="G280" s="41" t="str">
        <f t="shared" si="34"/>
        <v>Agotado</v>
      </c>
    </row>
    <row r="281" spans="1:7" x14ac:dyDescent="0.2">
      <c r="A281" s="15">
        <f t="shared" si="28"/>
        <v>269</v>
      </c>
      <c r="B281" s="16">
        <f t="shared" si="29"/>
        <v>22.416666666666668</v>
      </c>
      <c r="C281" s="17">
        <f t="shared" si="30"/>
        <v>0</v>
      </c>
      <c r="D281" s="17">
        <f t="shared" si="31"/>
        <v>0</v>
      </c>
      <c r="E281" s="17">
        <f t="shared" si="32"/>
        <v>0</v>
      </c>
      <c r="F281" s="17">
        <f t="shared" si="33"/>
        <v>0</v>
      </c>
      <c r="G281" s="37" t="str">
        <f t="shared" si="34"/>
        <v>Agotado</v>
      </c>
    </row>
    <row r="282" spans="1:7" x14ac:dyDescent="0.2">
      <c r="A282" s="38">
        <f t="shared" si="28"/>
        <v>270</v>
      </c>
      <c r="B282" s="39">
        <f t="shared" si="29"/>
        <v>22.5</v>
      </c>
      <c r="C282" s="40">
        <f t="shared" si="30"/>
        <v>0</v>
      </c>
      <c r="D282" s="40">
        <f t="shared" si="31"/>
        <v>0</v>
      </c>
      <c r="E282" s="40">
        <f t="shared" si="32"/>
        <v>0</v>
      </c>
      <c r="F282" s="40">
        <f t="shared" si="33"/>
        <v>0</v>
      </c>
      <c r="G282" s="41" t="str">
        <f t="shared" si="34"/>
        <v>Agotado</v>
      </c>
    </row>
    <row r="283" spans="1:7" x14ac:dyDescent="0.2">
      <c r="A283" s="15">
        <f t="shared" si="28"/>
        <v>271</v>
      </c>
      <c r="B283" s="16">
        <f t="shared" si="29"/>
        <v>22.583333333333332</v>
      </c>
      <c r="C283" s="17">
        <f t="shared" si="30"/>
        <v>0</v>
      </c>
      <c r="D283" s="17">
        <f t="shared" si="31"/>
        <v>0</v>
      </c>
      <c r="E283" s="17">
        <f t="shared" si="32"/>
        <v>0</v>
      </c>
      <c r="F283" s="17">
        <f t="shared" si="33"/>
        <v>0</v>
      </c>
      <c r="G283" s="37" t="str">
        <f t="shared" si="34"/>
        <v>Agotado</v>
      </c>
    </row>
    <row r="284" spans="1:7" x14ac:dyDescent="0.2">
      <c r="A284" s="38">
        <f t="shared" si="28"/>
        <v>272</v>
      </c>
      <c r="B284" s="39">
        <f t="shared" si="29"/>
        <v>22.666666666666668</v>
      </c>
      <c r="C284" s="40">
        <f t="shared" si="30"/>
        <v>0</v>
      </c>
      <c r="D284" s="40">
        <f t="shared" si="31"/>
        <v>0</v>
      </c>
      <c r="E284" s="40">
        <f t="shared" si="32"/>
        <v>0</v>
      </c>
      <c r="F284" s="40">
        <f t="shared" si="33"/>
        <v>0</v>
      </c>
      <c r="G284" s="41" t="str">
        <f t="shared" si="34"/>
        <v>Agotado</v>
      </c>
    </row>
    <row r="285" spans="1:7" x14ac:dyDescent="0.2">
      <c r="A285" s="15">
        <f t="shared" si="28"/>
        <v>273</v>
      </c>
      <c r="B285" s="16">
        <f t="shared" si="29"/>
        <v>22.75</v>
      </c>
      <c r="C285" s="17">
        <f t="shared" si="30"/>
        <v>0</v>
      </c>
      <c r="D285" s="17">
        <f t="shared" si="31"/>
        <v>0</v>
      </c>
      <c r="E285" s="17">
        <f t="shared" si="32"/>
        <v>0</v>
      </c>
      <c r="F285" s="17">
        <f t="shared" si="33"/>
        <v>0</v>
      </c>
      <c r="G285" s="37" t="str">
        <f t="shared" si="34"/>
        <v>Agotado</v>
      </c>
    </row>
    <row r="286" spans="1:7" x14ac:dyDescent="0.2">
      <c r="A286" s="38">
        <f t="shared" si="28"/>
        <v>274</v>
      </c>
      <c r="B286" s="39">
        <f t="shared" si="29"/>
        <v>22.833333333333332</v>
      </c>
      <c r="C286" s="40">
        <f t="shared" si="30"/>
        <v>0</v>
      </c>
      <c r="D286" s="40">
        <f t="shared" si="31"/>
        <v>0</v>
      </c>
      <c r="E286" s="40">
        <f t="shared" si="32"/>
        <v>0</v>
      </c>
      <c r="F286" s="40">
        <f t="shared" si="33"/>
        <v>0</v>
      </c>
      <c r="G286" s="41" t="str">
        <f t="shared" si="34"/>
        <v>Agotado</v>
      </c>
    </row>
    <row r="287" spans="1:7" x14ac:dyDescent="0.2">
      <c r="A287" s="15">
        <f t="shared" si="28"/>
        <v>275</v>
      </c>
      <c r="B287" s="16">
        <f t="shared" si="29"/>
        <v>22.916666666666668</v>
      </c>
      <c r="C287" s="17">
        <f t="shared" si="30"/>
        <v>0</v>
      </c>
      <c r="D287" s="17">
        <f t="shared" si="31"/>
        <v>0</v>
      </c>
      <c r="E287" s="17">
        <f t="shared" si="32"/>
        <v>0</v>
      </c>
      <c r="F287" s="17">
        <f t="shared" si="33"/>
        <v>0</v>
      </c>
      <c r="G287" s="37" t="str">
        <f t="shared" si="34"/>
        <v>Agotado</v>
      </c>
    </row>
    <row r="288" spans="1:7" x14ac:dyDescent="0.2">
      <c r="A288" s="38">
        <f t="shared" si="28"/>
        <v>276</v>
      </c>
      <c r="B288" s="39">
        <f t="shared" si="29"/>
        <v>23</v>
      </c>
      <c r="C288" s="40">
        <f t="shared" si="30"/>
        <v>0</v>
      </c>
      <c r="D288" s="40">
        <f t="shared" si="31"/>
        <v>0</v>
      </c>
      <c r="E288" s="40">
        <f t="shared" si="32"/>
        <v>0</v>
      </c>
      <c r="F288" s="40">
        <f t="shared" si="33"/>
        <v>0</v>
      </c>
      <c r="G288" s="41" t="str">
        <f t="shared" si="34"/>
        <v>Agotado</v>
      </c>
    </row>
    <row r="289" spans="1:7" x14ac:dyDescent="0.2">
      <c r="A289" s="15">
        <f t="shared" si="28"/>
        <v>277</v>
      </c>
      <c r="B289" s="16">
        <f t="shared" si="29"/>
        <v>23.083333333333332</v>
      </c>
      <c r="C289" s="17">
        <f t="shared" si="30"/>
        <v>0</v>
      </c>
      <c r="D289" s="17">
        <f t="shared" si="31"/>
        <v>0</v>
      </c>
      <c r="E289" s="17">
        <f t="shared" si="32"/>
        <v>0</v>
      </c>
      <c r="F289" s="17">
        <f t="shared" si="33"/>
        <v>0</v>
      </c>
      <c r="G289" s="37" t="str">
        <f t="shared" si="34"/>
        <v>Agotado</v>
      </c>
    </row>
    <row r="290" spans="1:7" x14ac:dyDescent="0.2">
      <c r="A290" s="38">
        <f t="shared" si="28"/>
        <v>278</v>
      </c>
      <c r="B290" s="39">
        <f t="shared" si="29"/>
        <v>23.166666666666668</v>
      </c>
      <c r="C290" s="40">
        <f t="shared" si="30"/>
        <v>0</v>
      </c>
      <c r="D290" s="40">
        <f t="shared" si="31"/>
        <v>0</v>
      </c>
      <c r="E290" s="40">
        <f t="shared" si="32"/>
        <v>0</v>
      </c>
      <c r="F290" s="40">
        <f t="shared" si="33"/>
        <v>0</v>
      </c>
      <c r="G290" s="41" t="str">
        <f t="shared" si="34"/>
        <v>Agotado</v>
      </c>
    </row>
    <row r="291" spans="1:7" x14ac:dyDescent="0.2">
      <c r="A291" s="15">
        <f t="shared" si="28"/>
        <v>279</v>
      </c>
      <c r="B291" s="16">
        <f t="shared" si="29"/>
        <v>23.25</v>
      </c>
      <c r="C291" s="17">
        <f t="shared" si="30"/>
        <v>0</v>
      </c>
      <c r="D291" s="17">
        <f t="shared" si="31"/>
        <v>0</v>
      </c>
      <c r="E291" s="17">
        <f t="shared" si="32"/>
        <v>0</v>
      </c>
      <c r="F291" s="17">
        <f t="shared" si="33"/>
        <v>0</v>
      </c>
      <c r="G291" s="37" t="str">
        <f t="shared" si="34"/>
        <v>Agotado</v>
      </c>
    </row>
    <row r="292" spans="1:7" x14ac:dyDescent="0.2">
      <c r="A292" s="38">
        <f t="shared" si="28"/>
        <v>280</v>
      </c>
      <c r="B292" s="39">
        <f t="shared" si="29"/>
        <v>23.333333333333332</v>
      </c>
      <c r="C292" s="40">
        <f t="shared" si="30"/>
        <v>0</v>
      </c>
      <c r="D292" s="40">
        <f t="shared" si="31"/>
        <v>0</v>
      </c>
      <c r="E292" s="40">
        <f t="shared" si="32"/>
        <v>0</v>
      </c>
      <c r="F292" s="40">
        <f t="shared" si="33"/>
        <v>0</v>
      </c>
      <c r="G292" s="41" t="str">
        <f t="shared" si="34"/>
        <v>Agotado</v>
      </c>
    </row>
    <row r="293" spans="1:7" x14ac:dyDescent="0.2">
      <c r="A293" s="15">
        <f t="shared" si="28"/>
        <v>281</v>
      </c>
      <c r="B293" s="16">
        <f t="shared" si="29"/>
        <v>23.416666666666668</v>
      </c>
      <c r="C293" s="17">
        <f t="shared" si="30"/>
        <v>0</v>
      </c>
      <c r="D293" s="17">
        <f t="shared" si="31"/>
        <v>0</v>
      </c>
      <c r="E293" s="17">
        <f t="shared" si="32"/>
        <v>0</v>
      </c>
      <c r="F293" s="17">
        <f t="shared" si="33"/>
        <v>0</v>
      </c>
      <c r="G293" s="37" t="str">
        <f t="shared" si="34"/>
        <v>Agotado</v>
      </c>
    </row>
    <row r="294" spans="1:7" x14ac:dyDescent="0.2">
      <c r="A294" s="38">
        <f t="shared" si="28"/>
        <v>282</v>
      </c>
      <c r="B294" s="39">
        <f t="shared" si="29"/>
        <v>23.5</v>
      </c>
      <c r="C294" s="40">
        <f t="shared" si="30"/>
        <v>0</v>
      </c>
      <c r="D294" s="40">
        <f t="shared" si="31"/>
        <v>0</v>
      </c>
      <c r="E294" s="40">
        <f t="shared" si="32"/>
        <v>0</v>
      </c>
      <c r="F294" s="40">
        <f t="shared" si="33"/>
        <v>0</v>
      </c>
      <c r="G294" s="41" t="str">
        <f t="shared" si="34"/>
        <v>Agotado</v>
      </c>
    </row>
    <row r="295" spans="1:7" x14ac:dyDescent="0.2">
      <c r="A295" s="15">
        <f t="shared" si="28"/>
        <v>283</v>
      </c>
      <c r="B295" s="16">
        <f t="shared" si="29"/>
        <v>23.583333333333332</v>
      </c>
      <c r="C295" s="17">
        <f t="shared" si="30"/>
        <v>0</v>
      </c>
      <c r="D295" s="17">
        <f t="shared" si="31"/>
        <v>0</v>
      </c>
      <c r="E295" s="17">
        <f t="shared" si="32"/>
        <v>0</v>
      </c>
      <c r="F295" s="17">
        <f t="shared" si="33"/>
        <v>0</v>
      </c>
      <c r="G295" s="37" t="str">
        <f t="shared" si="34"/>
        <v>Agotado</v>
      </c>
    </row>
    <row r="296" spans="1:7" x14ac:dyDescent="0.2">
      <c r="A296" s="38">
        <f t="shared" si="28"/>
        <v>284</v>
      </c>
      <c r="B296" s="39">
        <f t="shared" si="29"/>
        <v>23.666666666666668</v>
      </c>
      <c r="C296" s="40">
        <f t="shared" si="30"/>
        <v>0</v>
      </c>
      <c r="D296" s="40">
        <f t="shared" si="31"/>
        <v>0</v>
      </c>
      <c r="E296" s="40">
        <f t="shared" si="32"/>
        <v>0</v>
      </c>
      <c r="F296" s="40">
        <f t="shared" si="33"/>
        <v>0</v>
      </c>
      <c r="G296" s="41" t="str">
        <f t="shared" si="34"/>
        <v>Agotado</v>
      </c>
    </row>
    <row r="297" spans="1:7" x14ac:dyDescent="0.2">
      <c r="A297" s="15">
        <f t="shared" si="28"/>
        <v>285</v>
      </c>
      <c r="B297" s="16">
        <f t="shared" si="29"/>
        <v>23.75</v>
      </c>
      <c r="C297" s="17">
        <f t="shared" si="30"/>
        <v>0</v>
      </c>
      <c r="D297" s="17">
        <f t="shared" si="31"/>
        <v>0</v>
      </c>
      <c r="E297" s="17">
        <f t="shared" si="32"/>
        <v>0</v>
      </c>
      <c r="F297" s="17">
        <f t="shared" si="33"/>
        <v>0</v>
      </c>
      <c r="G297" s="37" t="str">
        <f t="shared" si="34"/>
        <v>Agotado</v>
      </c>
    </row>
    <row r="298" spans="1:7" x14ac:dyDescent="0.2">
      <c r="A298" s="38">
        <f t="shared" si="28"/>
        <v>286</v>
      </c>
      <c r="B298" s="39">
        <f t="shared" si="29"/>
        <v>23.833333333333332</v>
      </c>
      <c r="C298" s="40">
        <f t="shared" si="30"/>
        <v>0</v>
      </c>
      <c r="D298" s="40">
        <f t="shared" si="31"/>
        <v>0</v>
      </c>
      <c r="E298" s="40">
        <f t="shared" si="32"/>
        <v>0</v>
      </c>
      <c r="F298" s="40">
        <f t="shared" si="33"/>
        <v>0</v>
      </c>
      <c r="G298" s="41" t="str">
        <f t="shared" si="34"/>
        <v>Agotado</v>
      </c>
    </row>
    <row r="299" spans="1:7" x14ac:dyDescent="0.2">
      <c r="A299" s="15">
        <f t="shared" si="28"/>
        <v>287</v>
      </c>
      <c r="B299" s="16">
        <f t="shared" si="29"/>
        <v>23.916666666666668</v>
      </c>
      <c r="C299" s="17">
        <f t="shared" si="30"/>
        <v>0</v>
      </c>
      <c r="D299" s="17">
        <f t="shared" si="31"/>
        <v>0</v>
      </c>
      <c r="E299" s="17">
        <f t="shared" si="32"/>
        <v>0</v>
      </c>
      <c r="F299" s="17">
        <f t="shared" si="33"/>
        <v>0</v>
      </c>
      <c r="G299" s="37" t="str">
        <f t="shared" si="34"/>
        <v>Agotado</v>
      </c>
    </row>
    <row r="300" spans="1:7" x14ac:dyDescent="0.2">
      <c r="A300" s="38">
        <f t="shared" si="28"/>
        <v>288</v>
      </c>
      <c r="B300" s="39">
        <f t="shared" si="29"/>
        <v>24</v>
      </c>
      <c r="C300" s="40">
        <f t="shared" si="30"/>
        <v>0</v>
      </c>
      <c r="D300" s="40">
        <f t="shared" si="31"/>
        <v>0</v>
      </c>
      <c r="E300" s="40">
        <f t="shared" si="32"/>
        <v>0</v>
      </c>
      <c r="F300" s="40">
        <f t="shared" si="33"/>
        <v>0</v>
      </c>
      <c r="G300" s="41" t="str">
        <f t="shared" si="34"/>
        <v>Agotado</v>
      </c>
    </row>
    <row r="301" spans="1:7" x14ac:dyDescent="0.2">
      <c r="A301" s="15">
        <f t="shared" si="28"/>
        <v>289</v>
      </c>
      <c r="B301" s="16">
        <f t="shared" si="29"/>
        <v>24.083333333333332</v>
      </c>
      <c r="C301" s="17">
        <f t="shared" si="30"/>
        <v>0</v>
      </c>
      <c r="D301" s="17">
        <f t="shared" si="31"/>
        <v>0</v>
      </c>
      <c r="E301" s="17">
        <f t="shared" si="32"/>
        <v>0</v>
      </c>
      <c r="F301" s="17">
        <f t="shared" si="33"/>
        <v>0</v>
      </c>
      <c r="G301" s="37" t="str">
        <f t="shared" si="34"/>
        <v>Agotado</v>
      </c>
    </row>
    <row r="302" spans="1:7" x14ac:dyDescent="0.2">
      <c r="A302" s="38">
        <f t="shared" si="28"/>
        <v>290</v>
      </c>
      <c r="B302" s="39">
        <f t="shared" si="29"/>
        <v>24.166666666666668</v>
      </c>
      <c r="C302" s="40">
        <f t="shared" si="30"/>
        <v>0</v>
      </c>
      <c r="D302" s="40">
        <f t="shared" si="31"/>
        <v>0</v>
      </c>
      <c r="E302" s="40">
        <f t="shared" si="32"/>
        <v>0</v>
      </c>
      <c r="F302" s="40">
        <f t="shared" si="33"/>
        <v>0</v>
      </c>
      <c r="G302" s="41" t="str">
        <f t="shared" si="34"/>
        <v>Agotado</v>
      </c>
    </row>
    <row r="303" spans="1:7" x14ac:dyDescent="0.2">
      <c r="A303" s="15">
        <f t="shared" si="28"/>
        <v>291</v>
      </c>
      <c r="B303" s="16">
        <f t="shared" si="29"/>
        <v>24.25</v>
      </c>
      <c r="C303" s="17">
        <f t="shared" si="30"/>
        <v>0</v>
      </c>
      <c r="D303" s="17">
        <f t="shared" si="31"/>
        <v>0</v>
      </c>
      <c r="E303" s="17">
        <f t="shared" si="32"/>
        <v>0</v>
      </c>
      <c r="F303" s="17">
        <f t="shared" si="33"/>
        <v>0</v>
      </c>
      <c r="G303" s="37" t="str">
        <f t="shared" si="34"/>
        <v>Agotado</v>
      </c>
    </row>
    <row r="304" spans="1:7" x14ac:dyDescent="0.2">
      <c r="A304" s="38">
        <f t="shared" si="28"/>
        <v>292</v>
      </c>
      <c r="B304" s="39">
        <f t="shared" si="29"/>
        <v>24.333333333333332</v>
      </c>
      <c r="C304" s="40">
        <f t="shared" si="30"/>
        <v>0</v>
      </c>
      <c r="D304" s="40">
        <f t="shared" si="31"/>
        <v>0</v>
      </c>
      <c r="E304" s="40">
        <f t="shared" si="32"/>
        <v>0</v>
      </c>
      <c r="F304" s="40">
        <f t="shared" si="33"/>
        <v>0</v>
      </c>
      <c r="G304" s="41" t="str">
        <f t="shared" si="34"/>
        <v>Agotado</v>
      </c>
    </row>
    <row r="305" spans="1:7" x14ac:dyDescent="0.2">
      <c r="A305" s="15">
        <f t="shared" si="28"/>
        <v>293</v>
      </c>
      <c r="B305" s="16">
        <f t="shared" si="29"/>
        <v>24.416666666666668</v>
      </c>
      <c r="C305" s="17">
        <f t="shared" si="30"/>
        <v>0</v>
      </c>
      <c r="D305" s="17">
        <f t="shared" si="31"/>
        <v>0</v>
      </c>
      <c r="E305" s="17">
        <f t="shared" si="32"/>
        <v>0</v>
      </c>
      <c r="F305" s="17">
        <f t="shared" si="33"/>
        <v>0</v>
      </c>
      <c r="G305" s="37" t="str">
        <f t="shared" si="34"/>
        <v>Agotado</v>
      </c>
    </row>
    <row r="306" spans="1:7" x14ac:dyDescent="0.2">
      <c r="A306" s="38">
        <f t="shared" si="28"/>
        <v>294</v>
      </c>
      <c r="B306" s="39">
        <f t="shared" si="29"/>
        <v>24.5</v>
      </c>
      <c r="C306" s="40">
        <f t="shared" si="30"/>
        <v>0</v>
      </c>
      <c r="D306" s="40">
        <f t="shared" si="31"/>
        <v>0</v>
      </c>
      <c r="E306" s="40">
        <f t="shared" si="32"/>
        <v>0</v>
      </c>
      <c r="F306" s="40">
        <f t="shared" si="33"/>
        <v>0</v>
      </c>
      <c r="G306" s="41" t="str">
        <f t="shared" si="34"/>
        <v>Agotado</v>
      </c>
    </row>
    <row r="307" spans="1:7" x14ac:dyDescent="0.2">
      <c r="A307" s="15">
        <f t="shared" si="28"/>
        <v>295</v>
      </c>
      <c r="B307" s="16">
        <f t="shared" si="29"/>
        <v>24.583333333333332</v>
      </c>
      <c r="C307" s="17">
        <f t="shared" si="30"/>
        <v>0</v>
      </c>
      <c r="D307" s="17">
        <f t="shared" si="31"/>
        <v>0</v>
      </c>
      <c r="E307" s="17">
        <f t="shared" si="32"/>
        <v>0</v>
      </c>
      <c r="F307" s="17">
        <f t="shared" si="33"/>
        <v>0</v>
      </c>
      <c r="G307" s="37" t="str">
        <f t="shared" si="34"/>
        <v>Agotado</v>
      </c>
    </row>
    <row r="308" spans="1:7" x14ac:dyDescent="0.2">
      <c r="A308" s="38">
        <f t="shared" si="28"/>
        <v>296</v>
      </c>
      <c r="B308" s="39">
        <f t="shared" si="29"/>
        <v>24.666666666666668</v>
      </c>
      <c r="C308" s="40">
        <f t="shared" si="30"/>
        <v>0</v>
      </c>
      <c r="D308" s="40">
        <f t="shared" si="31"/>
        <v>0</v>
      </c>
      <c r="E308" s="40">
        <f t="shared" si="32"/>
        <v>0</v>
      </c>
      <c r="F308" s="40">
        <f t="shared" si="33"/>
        <v>0</v>
      </c>
      <c r="G308" s="41" t="str">
        <f t="shared" si="34"/>
        <v>Agotado</v>
      </c>
    </row>
    <row r="309" spans="1:7" x14ac:dyDescent="0.2">
      <c r="A309" s="15">
        <f t="shared" si="28"/>
        <v>297</v>
      </c>
      <c r="B309" s="16">
        <f t="shared" si="29"/>
        <v>24.75</v>
      </c>
      <c r="C309" s="17">
        <f t="shared" si="30"/>
        <v>0</v>
      </c>
      <c r="D309" s="17">
        <f t="shared" si="31"/>
        <v>0</v>
      </c>
      <c r="E309" s="17">
        <f t="shared" si="32"/>
        <v>0</v>
      </c>
      <c r="F309" s="17">
        <f t="shared" si="33"/>
        <v>0</v>
      </c>
      <c r="G309" s="37" t="str">
        <f t="shared" si="34"/>
        <v>Agotado</v>
      </c>
    </row>
    <row r="310" spans="1:7" x14ac:dyDescent="0.2">
      <c r="A310" s="38">
        <f t="shared" si="28"/>
        <v>298</v>
      </c>
      <c r="B310" s="39">
        <f t="shared" si="29"/>
        <v>24.833333333333332</v>
      </c>
      <c r="C310" s="40">
        <f t="shared" si="30"/>
        <v>0</v>
      </c>
      <c r="D310" s="40">
        <f t="shared" si="31"/>
        <v>0</v>
      </c>
      <c r="E310" s="40">
        <f t="shared" si="32"/>
        <v>0</v>
      </c>
      <c r="F310" s="40">
        <f t="shared" si="33"/>
        <v>0</v>
      </c>
      <c r="G310" s="41" t="str">
        <f t="shared" si="34"/>
        <v>Agotado</v>
      </c>
    </row>
    <row r="311" spans="1:7" x14ac:dyDescent="0.2">
      <c r="A311" s="15">
        <f t="shared" si="28"/>
        <v>299</v>
      </c>
      <c r="B311" s="16">
        <f t="shared" si="29"/>
        <v>24.916666666666668</v>
      </c>
      <c r="C311" s="17">
        <f t="shared" si="30"/>
        <v>0</v>
      </c>
      <c r="D311" s="17">
        <f t="shared" si="31"/>
        <v>0</v>
      </c>
      <c r="E311" s="17">
        <f t="shared" si="32"/>
        <v>0</v>
      </c>
      <c r="F311" s="17">
        <f t="shared" si="33"/>
        <v>0</v>
      </c>
      <c r="G311" s="37" t="str">
        <f t="shared" si="34"/>
        <v>Agotado</v>
      </c>
    </row>
    <row r="312" spans="1:7" x14ac:dyDescent="0.2">
      <c r="A312" s="38">
        <f t="shared" si="28"/>
        <v>300</v>
      </c>
      <c r="B312" s="39">
        <f t="shared" si="29"/>
        <v>25</v>
      </c>
      <c r="C312" s="40">
        <f t="shared" si="30"/>
        <v>0</v>
      </c>
      <c r="D312" s="40">
        <f t="shared" si="31"/>
        <v>0</v>
      </c>
      <c r="E312" s="40">
        <f t="shared" si="32"/>
        <v>0</v>
      </c>
      <c r="F312" s="40">
        <f t="shared" si="33"/>
        <v>0</v>
      </c>
      <c r="G312" s="41" t="str">
        <f t="shared" si="34"/>
        <v>Agotado</v>
      </c>
    </row>
    <row r="313" spans="1:7" x14ac:dyDescent="0.2">
      <c r="A313" s="15">
        <f t="shared" si="28"/>
        <v>301</v>
      </c>
      <c r="B313" s="16">
        <f t="shared" si="29"/>
        <v>25.083333333333332</v>
      </c>
      <c r="C313" s="17">
        <f t="shared" si="30"/>
        <v>0</v>
      </c>
      <c r="D313" s="17">
        <f t="shared" si="31"/>
        <v>0</v>
      </c>
      <c r="E313" s="17">
        <f t="shared" si="32"/>
        <v>0</v>
      </c>
      <c r="F313" s="17">
        <f t="shared" si="33"/>
        <v>0</v>
      </c>
      <c r="G313" s="37" t="str">
        <f t="shared" si="34"/>
        <v>Agotado</v>
      </c>
    </row>
    <row r="314" spans="1:7" x14ac:dyDescent="0.2">
      <c r="A314" s="38">
        <f t="shared" si="28"/>
        <v>302</v>
      </c>
      <c r="B314" s="39">
        <f t="shared" si="29"/>
        <v>25.166666666666668</v>
      </c>
      <c r="C314" s="40">
        <f t="shared" si="30"/>
        <v>0</v>
      </c>
      <c r="D314" s="40">
        <f t="shared" si="31"/>
        <v>0</v>
      </c>
      <c r="E314" s="40">
        <f t="shared" si="32"/>
        <v>0</v>
      </c>
      <c r="F314" s="40">
        <f t="shared" si="33"/>
        <v>0</v>
      </c>
      <c r="G314" s="41" t="str">
        <f t="shared" si="34"/>
        <v>Agotado</v>
      </c>
    </row>
    <row r="315" spans="1:7" x14ac:dyDescent="0.2">
      <c r="A315" s="15">
        <f t="shared" si="28"/>
        <v>303</v>
      </c>
      <c r="B315" s="16">
        <f t="shared" si="29"/>
        <v>25.25</v>
      </c>
      <c r="C315" s="17">
        <f t="shared" si="30"/>
        <v>0</v>
      </c>
      <c r="D315" s="17">
        <f t="shared" si="31"/>
        <v>0</v>
      </c>
      <c r="E315" s="17">
        <f t="shared" si="32"/>
        <v>0</v>
      </c>
      <c r="F315" s="17">
        <f t="shared" si="33"/>
        <v>0</v>
      </c>
      <c r="G315" s="37" t="str">
        <f t="shared" si="34"/>
        <v>Agotado</v>
      </c>
    </row>
    <row r="316" spans="1:7" x14ac:dyDescent="0.2">
      <c r="A316" s="38">
        <f t="shared" si="28"/>
        <v>304</v>
      </c>
      <c r="B316" s="39">
        <f t="shared" si="29"/>
        <v>25.333333333333332</v>
      </c>
      <c r="C316" s="40">
        <f t="shared" si="30"/>
        <v>0</v>
      </c>
      <c r="D316" s="40">
        <f t="shared" si="31"/>
        <v>0</v>
      </c>
      <c r="E316" s="40">
        <f t="shared" si="32"/>
        <v>0</v>
      </c>
      <c r="F316" s="40">
        <f t="shared" si="33"/>
        <v>0</v>
      </c>
      <c r="G316" s="41" t="str">
        <f t="shared" si="34"/>
        <v>Agotado</v>
      </c>
    </row>
    <row r="317" spans="1:7" x14ac:dyDescent="0.2">
      <c r="A317" s="15">
        <f t="shared" si="28"/>
        <v>305</v>
      </c>
      <c r="B317" s="16">
        <f t="shared" si="29"/>
        <v>25.416666666666668</v>
      </c>
      <c r="C317" s="17">
        <f t="shared" si="30"/>
        <v>0</v>
      </c>
      <c r="D317" s="17">
        <f t="shared" si="31"/>
        <v>0</v>
      </c>
      <c r="E317" s="17">
        <f t="shared" si="32"/>
        <v>0</v>
      </c>
      <c r="F317" s="17">
        <f t="shared" si="33"/>
        <v>0</v>
      </c>
      <c r="G317" s="37" t="str">
        <f t="shared" si="34"/>
        <v>Agotado</v>
      </c>
    </row>
    <row r="318" spans="1:7" x14ac:dyDescent="0.2">
      <c r="A318" s="38">
        <f t="shared" si="28"/>
        <v>306</v>
      </c>
      <c r="B318" s="39">
        <f t="shared" si="29"/>
        <v>25.5</v>
      </c>
      <c r="C318" s="40">
        <f t="shared" si="30"/>
        <v>0</v>
      </c>
      <c r="D318" s="40">
        <f t="shared" si="31"/>
        <v>0</v>
      </c>
      <c r="E318" s="40">
        <f t="shared" si="32"/>
        <v>0</v>
      </c>
      <c r="F318" s="40">
        <f t="shared" si="33"/>
        <v>0</v>
      </c>
      <c r="G318" s="41" t="str">
        <f t="shared" si="34"/>
        <v>Agotado</v>
      </c>
    </row>
    <row r="319" spans="1:7" x14ac:dyDescent="0.2">
      <c r="A319" s="15">
        <f t="shared" si="28"/>
        <v>307</v>
      </c>
      <c r="B319" s="16">
        <f t="shared" si="29"/>
        <v>25.583333333333332</v>
      </c>
      <c r="C319" s="17">
        <f t="shared" si="30"/>
        <v>0</v>
      </c>
      <c r="D319" s="17">
        <f t="shared" si="31"/>
        <v>0</v>
      </c>
      <c r="E319" s="17">
        <f t="shared" si="32"/>
        <v>0</v>
      </c>
      <c r="F319" s="17">
        <f t="shared" si="33"/>
        <v>0</v>
      </c>
      <c r="G319" s="37" t="str">
        <f t="shared" si="34"/>
        <v>Agotado</v>
      </c>
    </row>
    <row r="320" spans="1:7" x14ac:dyDescent="0.2">
      <c r="A320" s="38">
        <f t="shared" si="28"/>
        <v>308</v>
      </c>
      <c r="B320" s="39">
        <f t="shared" si="29"/>
        <v>25.666666666666668</v>
      </c>
      <c r="C320" s="40">
        <f t="shared" si="30"/>
        <v>0</v>
      </c>
      <c r="D320" s="40">
        <f t="shared" si="31"/>
        <v>0</v>
      </c>
      <c r="E320" s="40">
        <f t="shared" si="32"/>
        <v>0</v>
      </c>
      <c r="F320" s="40">
        <f t="shared" si="33"/>
        <v>0</v>
      </c>
      <c r="G320" s="41" t="str">
        <f t="shared" si="34"/>
        <v>Agotado</v>
      </c>
    </row>
    <row r="321" spans="1:7" x14ac:dyDescent="0.2">
      <c r="A321" s="15">
        <f t="shared" si="28"/>
        <v>309</v>
      </c>
      <c r="B321" s="16">
        <f t="shared" si="29"/>
        <v>25.75</v>
      </c>
      <c r="C321" s="17">
        <f t="shared" si="30"/>
        <v>0</v>
      </c>
      <c r="D321" s="17">
        <f t="shared" si="31"/>
        <v>0</v>
      </c>
      <c r="E321" s="17">
        <f t="shared" si="32"/>
        <v>0</v>
      </c>
      <c r="F321" s="17">
        <f t="shared" si="33"/>
        <v>0</v>
      </c>
      <c r="G321" s="37" t="str">
        <f t="shared" si="34"/>
        <v>Agotado</v>
      </c>
    </row>
    <row r="322" spans="1:7" x14ac:dyDescent="0.2">
      <c r="A322" s="38">
        <f t="shared" si="28"/>
        <v>310</v>
      </c>
      <c r="B322" s="39">
        <f t="shared" si="29"/>
        <v>25.833333333333332</v>
      </c>
      <c r="C322" s="40">
        <f t="shared" si="30"/>
        <v>0</v>
      </c>
      <c r="D322" s="40">
        <f t="shared" si="31"/>
        <v>0</v>
      </c>
      <c r="E322" s="40">
        <f t="shared" si="32"/>
        <v>0</v>
      </c>
      <c r="F322" s="40">
        <f t="shared" si="33"/>
        <v>0</v>
      </c>
      <c r="G322" s="41" t="str">
        <f t="shared" si="34"/>
        <v>Agotado</v>
      </c>
    </row>
    <row r="323" spans="1:7" x14ac:dyDescent="0.2">
      <c r="A323" s="15">
        <f t="shared" si="28"/>
        <v>311</v>
      </c>
      <c r="B323" s="16">
        <f t="shared" si="29"/>
        <v>25.916666666666668</v>
      </c>
      <c r="C323" s="17">
        <f t="shared" si="30"/>
        <v>0</v>
      </c>
      <c r="D323" s="17">
        <f t="shared" si="31"/>
        <v>0</v>
      </c>
      <c r="E323" s="17">
        <f t="shared" si="32"/>
        <v>0</v>
      </c>
      <c r="F323" s="17">
        <f t="shared" si="33"/>
        <v>0</v>
      </c>
      <c r="G323" s="37" t="str">
        <f t="shared" si="34"/>
        <v>Agotado</v>
      </c>
    </row>
    <row r="324" spans="1:7" x14ac:dyDescent="0.2">
      <c r="A324" s="38">
        <f t="shared" si="28"/>
        <v>312</v>
      </c>
      <c r="B324" s="39">
        <f t="shared" si="29"/>
        <v>26</v>
      </c>
      <c r="C324" s="40">
        <f t="shared" si="30"/>
        <v>0</v>
      </c>
      <c r="D324" s="40">
        <f t="shared" si="31"/>
        <v>0</v>
      </c>
      <c r="E324" s="40">
        <f t="shared" si="32"/>
        <v>0</v>
      </c>
      <c r="F324" s="40">
        <f t="shared" si="33"/>
        <v>0</v>
      </c>
      <c r="G324" s="41" t="str">
        <f t="shared" si="34"/>
        <v>Agotado</v>
      </c>
    </row>
    <row r="325" spans="1:7" x14ac:dyDescent="0.2">
      <c r="A325" s="15">
        <f t="shared" si="28"/>
        <v>313</v>
      </c>
      <c r="B325" s="16">
        <f t="shared" si="29"/>
        <v>26.083333333333332</v>
      </c>
      <c r="C325" s="17">
        <f t="shared" si="30"/>
        <v>0</v>
      </c>
      <c r="D325" s="17">
        <f t="shared" si="31"/>
        <v>0</v>
      </c>
      <c r="E325" s="17">
        <f t="shared" si="32"/>
        <v>0</v>
      </c>
      <c r="F325" s="17">
        <f t="shared" si="33"/>
        <v>0</v>
      </c>
      <c r="G325" s="37" t="str">
        <f t="shared" si="34"/>
        <v>Agotado</v>
      </c>
    </row>
    <row r="326" spans="1:7" x14ac:dyDescent="0.2">
      <c r="A326" s="38">
        <f t="shared" si="28"/>
        <v>314</v>
      </c>
      <c r="B326" s="39">
        <f t="shared" si="29"/>
        <v>26.166666666666668</v>
      </c>
      <c r="C326" s="40">
        <f t="shared" si="30"/>
        <v>0</v>
      </c>
      <c r="D326" s="40">
        <f t="shared" si="31"/>
        <v>0</v>
      </c>
      <c r="E326" s="40">
        <f t="shared" si="32"/>
        <v>0</v>
      </c>
      <c r="F326" s="40">
        <f t="shared" si="33"/>
        <v>0</v>
      </c>
      <c r="G326" s="41" t="str">
        <f t="shared" si="34"/>
        <v>Agotado</v>
      </c>
    </row>
    <row r="327" spans="1:7" x14ac:dyDescent="0.2">
      <c r="A327" s="15">
        <f t="shared" si="28"/>
        <v>315</v>
      </c>
      <c r="B327" s="16">
        <f t="shared" si="29"/>
        <v>26.25</v>
      </c>
      <c r="C327" s="17">
        <f t="shared" si="30"/>
        <v>0</v>
      </c>
      <c r="D327" s="17">
        <f t="shared" si="31"/>
        <v>0</v>
      </c>
      <c r="E327" s="17">
        <f t="shared" si="32"/>
        <v>0</v>
      </c>
      <c r="F327" s="17">
        <f t="shared" si="33"/>
        <v>0</v>
      </c>
      <c r="G327" s="37" t="str">
        <f t="shared" si="34"/>
        <v>Agotado</v>
      </c>
    </row>
    <row r="328" spans="1:7" x14ac:dyDescent="0.2">
      <c r="A328" s="38">
        <f t="shared" si="28"/>
        <v>316</v>
      </c>
      <c r="B328" s="39">
        <f t="shared" si="29"/>
        <v>26.333333333333332</v>
      </c>
      <c r="C328" s="40">
        <f t="shared" si="30"/>
        <v>0</v>
      </c>
      <c r="D328" s="40">
        <f t="shared" si="31"/>
        <v>0</v>
      </c>
      <c r="E328" s="40">
        <f t="shared" si="32"/>
        <v>0</v>
      </c>
      <c r="F328" s="40">
        <f t="shared" si="33"/>
        <v>0</v>
      </c>
      <c r="G328" s="41" t="str">
        <f t="shared" si="34"/>
        <v>Agotado</v>
      </c>
    </row>
    <row r="329" spans="1:7" x14ac:dyDescent="0.2">
      <c r="A329" s="15">
        <f t="shared" si="28"/>
        <v>317</v>
      </c>
      <c r="B329" s="16">
        <f t="shared" si="29"/>
        <v>26.416666666666668</v>
      </c>
      <c r="C329" s="17">
        <f t="shared" si="30"/>
        <v>0</v>
      </c>
      <c r="D329" s="17">
        <f t="shared" si="31"/>
        <v>0</v>
      </c>
      <c r="E329" s="17">
        <f t="shared" si="32"/>
        <v>0</v>
      </c>
      <c r="F329" s="17">
        <f t="shared" si="33"/>
        <v>0</v>
      </c>
      <c r="G329" s="37" t="str">
        <f t="shared" si="34"/>
        <v>Agotado</v>
      </c>
    </row>
    <row r="330" spans="1:7" x14ac:dyDescent="0.2">
      <c r="A330" s="38">
        <f t="shared" si="28"/>
        <v>318</v>
      </c>
      <c r="B330" s="39">
        <f t="shared" si="29"/>
        <v>26.5</v>
      </c>
      <c r="C330" s="40">
        <f t="shared" si="30"/>
        <v>0</v>
      </c>
      <c r="D330" s="40">
        <f t="shared" si="31"/>
        <v>0</v>
      </c>
      <c r="E330" s="40">
        <f t="shared" si="32"/>
        <v>0</v>
      </c>
      <c r="F330" s="40">
        <f t="shared" si="33"/>
        <v>0</v>
      </c>
      <c r="G330" s="41" t="str">
        <f t="shared" si="34"/>
        <v>Agotado</v>
      </c>
    </row>
    <row r="331" spans="1:7" x14ac:dyDescent="0.2">
      <c r="A331" s="15">
        <f t="shared" si="28"/>
        <v>319</v>
      </c>
      <c r="B331" s="16">
        <f t="shared" si="29"/>
        <v>26.583333333333332</v>
      </c>
      <c r="C331" s="17">
        <f t="shared" si="30"/>
        <v>0</v>
      </c>
      <c r="D331" s="17">
        <f t="shared" si="31"/>
        <v>0</v>
      </c>
      <c r="E331" s="17">
        <f t="shared" si="32"/>
        <v>0</v>
      </c>
      <c r="F331" s="17">
        <f t="shared" si="33"/>
        <v>0</v>
      </c>
      <c r="G331" s="37" t="str">
        <f t="shared" si="34"/>
        <v>Agotado</v>
      </c>
    </row>
    <row r="332" spans="1:7" x14ac:dyDescent="0.2">
      <c r="A332" s="38">
        <f t="shared" si="28"/>
        <v>320</v>
      </c>
      <c r="B332" s="39">
        <f t="shared" si="29"/>
        <v>26.666666666666668</v>
      </c>
      <c r="C332" s="40">
        <f t="shared" si="30"/>
        <v>0</v>
      </c>
      <c r="D332" s="40">
        <f t="shared" si="31"/>
        <v>0</v>
      </c>
      <c r="E332" s="40">
        <f t="shared" si="32"/>
        <v>0</v>
      </c>
      <c r="F332" s="40">
        <f t="shared" si="33"/>
        <v>0</v>
      </c>
      <c r="G332" s="41" t="str">
        <f t="shared" si="34"/>
        <v>Agotado</v>
      </c>
    </row>
    <row r="333" spans="1:7" x14ac:dyDescent="0.2">
      <c r="A333" s="15">
        <f t="shared" si="28"/>
        <v>321</v>
      </c>
      <c r="B333" s="16">
        <f t="shared" si="29"/>
        <v>26.75</v>
      </c>
      <c r="C333" s="17">
        <f t="shared" si="30"/>
        <v>0</v>
      </c>
      <c r="D333" s="17">
        <f t="shared" si="31"/>
        <v>0</v>
      </c>
      <c r="E333" s="17">
        <f t="shared" si="32"/>
        <v>0</v>
      </c>
      <c r="F333" s="17">
        <f t="shared" si="33"/>
        <v>0</v>
      </c>
      <c r="G333" s="37" t="str">
        <f t="shared" si="34"/>
        <v>Agotado</v>
      </c>
    </row>
    <row r="334" spans="1:7" x14ac:dyDescent="0.2">
      <c r="A334" s="38">
        <f t="shared" ref="A334:A372" si="35">A333+1</f>
        <v>322</v>
      </c>
      <c r="B334" s="39">
        <f t="shared" ref="B334:B372" si="36">A334/12</f>
        <v>26.833333333333332</v>
      </c>
      <c r="C334" s="40">
        <f t="shared" ref="C334:C372" si="37">F333</f>
        <v>0</v>
      </c>
      <c r="D334" s="40">
        <f t="shared" ref="D334:D372" si="38">IF(C334&gt;0,C334*$B$7/12,0)</f>
        <v>0</v>
      </c>
      <c r="E334" s="40">
        <f t="shared" ref="E334:E372" si="39">IF(C334&gt;0,MIN($B$6,C334+D334),0)</f>
        <v>0</v>
      </c>
      <c r="F334" s="40">
        <f t="shared" ref="F334:F372" si="40">MAX(0,C334+D334-E334)</f>
        <v>0</v>
      </c>
      <c r="G334" s="41" t="str">
        <f t="shared" ref="G334:G372" si="41">IF(C334=0,"Agotado",IF(F334=0,"Último retiro","Activo"))</f>
        <v>Agotado</v>
      </c>
    </row>
    <row r="335" spans="1:7" x14ac:dyDescent="0.2">
      <c r="A335" s="15">
        <f t="shared" si="35"/>
        <v>323</v>
      </c>
      <c r="B335" s="16">
        <f t="shared" si="36"/>
        <v>26.916666666666668</v>
      </c>
      <c r="C335" s="17">
        <f t="shared" si="37"/>
        <v>0</v>
      </c>
      <c r="D335" s="17">
        <f t="shared" si="38"/>
        <v>0</v>
      </c>
      <c r="E335" s="17">
        <f t="shared" si="39"/>
        <v>0</v>
      </c>
      <c r="F335" s="17">
        <f t="shared" si="40"/>
        <v>0</v>
      </c>
      <c r="G335" s="37" t="str">
        <f t="shared" si="41"/>
        <v>Agotado</v>
      </c>
    </row>
    <row r="336" spans="1:7" x14ac:dyDescent="0.2">
      <c r="A336" s="38">
        <f t="shared" si="35"/>
        <v>324</v>
      </c>
      <c r="B336" s="39">
        <f t="shared" si="36"/>
        <v>27</v>
      </c>
      <c r="C336" s="40">
        <f t="shared" si="37"/>
        <v>0</v>
      </c>
      <c r="D336" s="40">
        <f t="shared" si="38"/>
        <v>0</v>
      </c>
      <c r="E336" s="40">
        <f t="shared" si="39"/>
        <v>0</v>
      </c>
      <c r="F336" s="40">
        <f t="shared" si="40"/>
        <v>0</v>
      </c>
      <c r="G336" s="41" t="str">
        <f t="shared" si="41"/>
        <v>Agotado</v>
      </c>
    </row>
    <row r="337" spans="1:7" x14ac:dyDescent="0.2">
      <c r="A337" s="15">
        <f t="shared" si="35"/>
        <v>325</v>
      </c>
      <c r="B337" s="16">
        <f t="shared" si="36"/>
        <v>27.083333333333332</v>
      </c>
      <c r="C337" s="17">
        <f t="shared" si="37"/>
        <v>0</v>
      </c>
      <c r="D337" s="17">
        <f t="shared" si="38"/>
        <v>0</v>
      </c>
      <c r="E337" s="17">
        <f t="shared" si="39"/>
        <v>0</v>
      </c>
      <c r="F337" s="17">
        <f t="shared" si="40"/>
        <v>0</v>
      </c>
      <c r="G337" s="37" t="str">
        <f t="shared" si="41"/>
        <v>Agotado</v>
      </c>
    </row>
    <row r="338" spans="1:7" x14ac:dyDescent="0.2">
      <c r="A338" s="38">
        <f t="shared" si="35"/>
        <v>326</v>
      </c>
      <c r="B338" s="39">
        <f t="shared" si="36"/>
        <v>27.166666666666668</v>
      </c>
      <c r="C338" s="40">
        <f t="shared" si="37"/>
        <v>0</v>
      </c>
      <c r="D338" s="40">
        <f t="shared" si="38"/>
        <v>0</v>
      </c>
      <c r="E338" s="40">
        <f t="shared" si="39"/>
        <v>0</v>
      </c>
      <c r="F338" s="40">
        <f t="shared" si="40"/>
        <v>0</v>
      </c>
      <c r="G338" s="41" t="str">
        <f t="shared" si="41"/>
        <v>Agotado</v>
      </c>
    </row>
    <row r="339" spans="1:7" x14ac:dyDescent="0.2">
      <c r="A339" s="15">
        <f t="shared" si="35"/>
        <v>327</v>
      </c>
      <c r="B339" s="16">
        <f t="shared" si="36"/>
        <v>27.25</v>
      </c>
      <c r="C339" s="17">
        <f t="shared" si="37"/>
        <v>0</v>
      </c>
      <c r="D339" s="17">
        <f t="shared" si="38"/>
        <v>0</v>
      </c>
      <c r="E339" s="17">
        <f t="shared" si="39"/>
        <v>0</v>
      </c>
      <c r="F339" s="17">
        <f t="shared" si="40"/>
        <v>0</v>
      </c>
      <c r="G339" s="37" t="str">
        <f t="shared" si="41"/>
        <v>Agotado</v>
      </c>
    </row>
    <row r="340" spans="1:7" x14ac:dyDescent="0.2">
      <c r="A340" s="38">
        <f t="shared" si="35"/>
        <v>328</v>
      </c>
      <c r="B340" s="39">
        <f t="shared" si="36"/>
        <v>27.333333333333332</v>
      </c>
      <c r="C340" s="40">
        <f t="shared" si="37"/>
        <v>0</v>
      </c>
      <c r="D340" s="40">
        <f t="shared" si="38"/>
        <v>0</v>
      </c>
      <c r="E340" s="40">
        <f t="shared" si="39"/>
        <v>0</v>
      </c>
      <c r="F340" s="40">
        <f t="shared" si="40"/>
        <v>0</v>
      </c>
      <c r="G340" s="41" t="str">
        <f t="shared" si="41"/>
        <v>Agotado</v>
      </c>
    </row>
    <row r="341" spans="1:7" x14ac:dyDescent="0.2">
      <c r="A341" s="15">
        <f t="shared" si="35"/>
        <v>329</v>
      </c>
      <c r="B341" s="16">
        <f t="shared" si="36"/>
        <v>27.416666666666668</v>
      </c>
      <c r="C341" s="17">
        <f t="shared" si="37"/>
        <v>0</v>
      </c>
      <c r="D341" s="17">
        <f t="shared" si="38"/>
        <v>0</v>
      </c>
      <c r="E341" s="17">
        <f t="shared" si="39"/>
        <v>0</v>
      </c>
      <c r="F341" s="17">
        <f t="shared" si="40"/>
        <v>0</v>
      </c>
      <c r="G341" s="37" t="str">
        <f t="shared" si="41"/>
        <v>Agotado</v>
      </c>
    </row>
    <row r="342" spans="1:7" x14ac:dyDescent="0.2">
      <c r="A342" s="38">
        <f t="shared" si="35"/>
        <v>330</v>
      </c>
      <c r="B342" s="39">
        <f t="shared" si="36"/>
        <v>27.5</v>
      </c>
      <c r="C342" s="40">
        <f t="shared" si="37"/>
        <v>0</v>
      </c>
      <c r="D342" s="40">
        <f t="shared" si="38"/>
        <v>0</v>
      </c>
      <c r="E342" s="40">
        <f t="shared" si="39"/>
        <v>0</v>
      </c>
      <c r="F342" s="40">
        <f t="shared" si="40"/>
        <v>0</v>
      </c>
      <c r="G342" s="41" t="str">
        <f t="shared" si="41"/>
        <v>Agotado</v>
      </c>
    </row>
    <row r="343" spans="1:7" x14ac:dyDescent="0.2">
      <c r="A343" s="15">
        <f t="shared" si="35"/>
        <v>331</v>
      </c>
      <c r="B343" s="16">
        <f t="shared" si="36"/>
        <v>27.583333333333332</v>
      </c>
      <c r="C343" s="17">
        <f t="shared" si="37"/>
        <v>0</v>
      </c>
      <c r="D343" s="17">
        <f t="shared" si="38"/>
        <v>0</v>
      </c>
      <c r="E343" s="17">
        <f t="shared" si="39"/>
        <v>0</v>
      </c>
      <c r="F343" s="17">
        <f t="shared" si="40"/>
        <v>0</v>
      </c>
      <c r="G343" s="37" t="str">
        <f t="shared" si="41"/>
        <v>Agotado</v>
      </c>
    </row>
    <row r="344" spans="1:7" x14ac:dyDescent="0.2">
      <c r="A344" s="38">
        <f t="shared" si="35"/>
        <v>332</v>
      </c>
      <c r="B344" s="39">
        <f t="shared" si="36"/>
        <v>27.666666666666668</v>
      </c>
      <c r="C344" s="40">
        <f t="shared" si="37"/>
        <v>0</v>
      </c>
      <c r="D344" s="40">
        <f t="shared" si="38"/>
        <v>0</v>
      </c>
      <c r="E344" s="40">
        <f t="shared" si="39"/>
        <v>0</v>
      </c>
      <c r="F344" s="40">
        <f t="shared" si="40"/>
        <v>0</v>
      </c>
      <c r="G344" s="41" t="str">
        <f t="shared" si="41"/>
        <v>Agotado</v>
      </c>
    </row>
    <row r="345" spans="1:7" x14ac:dyDescent="0.2">
      <c r="A345" s="15">
        <f t="shared" si="35"/>
        <v>333</v>
      </c>
      <c r="B345" s="16">
        <f t="shared" si="36"/>
        <v>27.75</v>
      </c>
      <c r="C345" s="17">
        <f t="shared" si="37"/>
        <v>0</v>
      </c>
      <c r="D345" s="17">
        <f t="shared" si="38"/>
        <v>0</v>
      </c>
      <c r="E345" s="17">
        <f t="shared" si="39"/>
        <v>0</v>
      </c>
      <c r="F345" s="17">
        <f t="shared" si="40"/>
        <v>0</v>
      </c>
      <c r="G345" s="37" t="str">
        <f t="shared" si="41"/>
        <v>Agotado</v>
      </c>
    </row>
    <row r="346" spans="1:7" x14ac:dyDescent="0.2">
      <c r="A346" s="38">
        <f t="shared" si="35"/>
        <v>334</v>
      </c>
      <c r="B346" s="39">
        <f t="shared" si="36"/>
        <v>27.833333333333332</v>
      </c>
      <c r="C346" s="40">
        <f t="shared" si="37"/>
        <v>0</v>
      </c>
      <c r="D346" s="40">
        <f t="shared" si="38"/>
        <v>0</v>
      </c>
      <c r="E346" s="40">
        <f t="shared" si="39"/>
        <v>0</v>
      </c>
      <c r="F346" s="40">
        <f t="shared" si="40"/>
        <v>0</v>
      </c>
      <c r="G346" s="41" t="str">
        <f t="shared" si="41"/>
        <v>Agotado</v>
      </c>
    </row>
    <row r="347" spans="1:7" x14ac:dyDescent="0.2">
      <c r="A347" s="15">
        <f t="shared" si="35"/>
        <v>335</v>
      </c>
      <c r="B347" s="16">
        <f t="shared" si="36"/>
        <v>27.916666666666668</v>
      </c>
      <c r="C347" s="17">
        <f t="shared" si="37"/>
        <v>0</v>
      </c>
      <c r="D347" s="17">
        <f t="shared" si="38"/>
        <v>0</v>
      </c>
      <c r="E347" s="17">
        <f t="shared" si="39"/>
        <v>0</v>
      </c>
      <c r="F347" s="17">
        <f t="shared" si="40"/>
        <v>0</v>
      </c>
      <c r="G347" s="37" t="str">
        <f t="shared" si="41"/>
        <v>Agotado</v>
      </c>
    </row>
    <row r="348" spans="1:7" x14ac:dyDescent="0.2">
      <c r="A348" s="38">
        <f t="shared" si="35"/>
        <v>336</v>
      </c>
      <c r="B348" s="39">
        <f t="shared" si="36"/>
        <v>28</v>
      </c>
      <c r="C348" s="40">
        <f t="shared" si="37"/>
        <v>0</v>
      </c>
      <c r="D348" s="40">
        <f t="shared" si="38"/>
        <v>0</v>
      </c>
      <c r="E348" s="40">
        <f t="shared" si="39"/>
        <v>0</v>
      </c>
      <c r="F348" s="40">
        <f t="shared" si="40"/>
        <v>0</v>
      </c>
      <c r="G348" s="41" t="str">
        <f t="shared" si="41"/>
        <v>Agotado</v>
      </c>
    </row>
    <row r="349" spans="1:7" x14ac:dyDescent="0.2">
      <c r="A349" s="15">
        <f t="shared" si="35"/>
        <v>337</v>
      </c>
      <c r="B349" s="16">
        <f t="shared" si="36"/>
        <v>28.083333333333332</v>
      </c>
      <c r="C349" s="17">
        <f t="shared" si="37"/>
        <v>0</v>
      </c>
      <c r="D349" s="17">
        <f t="shared" si="38"/>
        <v>0</v>
      </c>
      <c r="E349" s="17">
        <f t="shared" si="39"/>
        <v>0</v>
      </c>
      <c r="F349" s="17">
        <f t="shared" si="40"/>
        <v>0</v>
      </c>
      <c r="G349" s="37" t="str">
        <f t="shared" si="41"/>
        <v>Agotado</v>
      </c>
    </row>
    <row r="350" spans="1:7" x14ac:dyDescent="0.2">
      <c r="A350" s="38">
        <f t="shared" si="35"/>
        <v>338</v>
      </c>
      <c r="B350" s="39">
        <f t="shared" si="36"/>
        <v>28.166666666666668</v>
      </c>
      <c r="C350" s="40">
        <f t="shared" si="37"/>
        <v>0</v>
      </c>
      <c r="D350" s="40">
        <f t="shared" si="38"/>
        <v>0</v>
      </c>
      <c r="E350" s="40">
        <f t="shared" si="39"/>
        <v>0</v>
      </c>
      <c r="F350" s="40">
        <f t="shared" si="40"/>
        <v>0</v>
      </c>
      <c r="G350" s="41" t="str">
        <f t="shared" si="41"/>
        <v>Agotado</v>
      </c>
    </row>
    <row r="351" spans="1:7" x14ac:dyDescent="0.2">
      <c r="A351" s="15">
        <f t="shared" si="35"/>
        <v>339</v>
      </c>
      <c r="B351" s="16">
        <f t="shared" si="36"/>
        <v>28.25</v>
      </c>
      <c r="C351" s="17">
        <f t="shared" si="37"/>
        <v>0</v>
      </c>
      <c r="D351" s="17">
        <f t="shared" si="38"/>
        <v>0</v>
      </c>
      <c r="E351" s="17">
        <f t="shared" si="39"/>
        <v>0</v>
      </c>
      <c r="F351" s="17">
        <f t="shared" si="40"/>
        <v>0</v>
      </c>
      <c r="G351" s="37" t="str">
        <f t="shared" si="41"/>
        <v>Agotado</v>
      </c>
    </row>
    <row r="352" spans="1:7" x14ac:dyDescent="0.2">
      <c r="A352" s="38">
        <f t="shared" si="35"/>
        <v>340</v>
      </c>
      <c r="B352" s="39">
        <f t="shared" si="36"/>
        <v>28.333333333333332</v>
      </c>
      <c r="C352" s="40">
        <f t="shared" si="37"/>
        <v>0</v>
      </c>
      <c r="D352" s="40">
        <f t="shared" si="38"/>
        <v>0</v>
      </c>
      <c r="E352" s="40">
        <f t="shared" si="39"/>
        <v>0</v>
      </c>
      <c r="F352" s="40">
        <f t="shared" si="40"/>
        <v>0</v>
      </c>
      <c r="G352" s="41" t="str">
        <f t="shared" si="41"/>
        <v>Agotado</v>
      </c>
    </row>
    <row r="353" spans="1:7" x14ac:dyDescent="0.2">
      <c r="A353" s="15">
        <f t="shared" si="35"/>
        <v>341</v>
      </c>
      <c r="B353" s="16">
        <f t="shared" si="36"/>
        <v>28.416666666666668</v>
      </c>
      <c r="C353" s="17">
        <f t="shared" si="37"/>
        <v>0</v>
      </c>
      <c r="D353" s="17">
        <f t="shared" si="38"/>
        <v>0</v>
      </c>
      <c r="E353" s="17">
        <f t="shared" si="39"/>
        <v>0</v>
      </c>
      <c r="F353" s="17">
        <f t="shared" si="40"/>
        <v>0</v>
      </c>
      <c r="G353" s="37" t="str">
        <f t="shared" si="41"/>
        <v>Agotado</v>
      </c>
    </row>
    <row r="354" spans="1:7" x14ac:dyDescent="0.2">
      <c r="A354" s="38">
        <f t="shared" si="35"/>
        <v>342</v>
      </c>
      <c r="B354" s="39">
        <f t="shared" si="36"/>
        <v>28.5</v>
      </c>
      <c r="C354" s="40">
        <f t="shared" si="37"/>
        <v>0</v>
      </c>
      <c r="D354" s="40">
        <f t="shared" si="38"/>
        <v>0</v>
      </c>
      <c r="E354" s="40">
        <f t="shared" si="39"/>
        <v>0</v>
      </c>
      <c r="F354" s="40">
        <f t="shared" si="40"/>
        <v>0</v>
      </c>
      <c r="G354" s="41" t="str">
        <f t="shared" si="41"/>
        <v>Agotado</v>
      </c>
    </row>
    <row r="355" spans="1:7" x14ac:dyDescent="0.2">
      <c r="A355" s="15">
        <f t="shared" si="35"/>
        <v>343</v>
      </c>
      <c r="B355" s="16">
        <f t="shared" si="36"/>
        <v>28.583333333333332</v>
      </c>
      <c r="C355" s="17">
        <f t="shared" si="37"/>
        <v>0</v>
      </c>
      <c r="D355" s="17">
        <f t="shared" si="38"/>
        <v>0</v>
      </c>
      <c r="E355" s="17">
        <f t="shared" si="39"/>
        <v>0</v>
      </c>
      <c r="F355" s="17">
        <f t="shared" si="40"/>
        <v>0</v>
      </c>
      <c r="G355" s="37" t="str">
        <f t="shared" si="41"/>
        <v>Agotado</v>
      </c>
    </row>
    <row r="356" spans="1:7" x14ac:dyDescent="0.2">
      <c r="A356" s="38">
        <f t="shared" si="35"/>
        <v>344</v>
      </c>
      <c r="B356" s="39">
        <f t="shared" si="36"/>
        <v>28.666666666666668</v>
      </c>
      <c r="C356" s="40">
        <f t="shared" si="37"/>
        <v>0</v>
      </c>
      <c r="D356" s="40">
        <f t="shared" si="38"/>
        <v>0</v>
      </c>
      <c r="E356" s="40">
        <f t="shared" si="39"/>
        <v>0</v>
      </c>
      <c r="F356" s="40">
        <f t="shared" si="40"/>
        <v>0</v>
      </c>
      <c r="G356" s="41" t="str">
        <f t="shared" si="41"/>
        <v>Agotado</v>
      </c>
    </row>
    <row r="357" spans="1:7" x14ac:dyDescent="0.2">
      <c r="A357" s="15">
        <f t="shared" si="35"/>
        <v>345</v>
      </c>
      <c r="B357" s="16">
        <f t="shared" si="36"/>
        <v>28.75</v>
      </c>
      <c r="C357" s="17">
        <f t="shared" si="37"/>
        <v>0</v>
      </c>
      <c r="D357" s="17">
        <f t="shared" si="38"/>
        <v>0</v>
      </c>
      <c r="E357" s="17">
        <f t="shared" si="39"/>
        <v>0</v>
      </c>
      <c r="F357" s="17">
        <f t="shared" si="40"/>
        <v>0</v>
      </c>
      <c r="G357" s="37" t="str">
        <f t="shared" si="41"/>
        <v>Agotado</v>
      </c>
    </row>
    <row r="358" spans="1:7" x14ac:dyDescent="0.2">
      <c r="A358" s="38">
        <f t="shared" si="35"/>
        <v>346</v>
      </c>
      <c r="B358" s="39">
        <f t="shared" si="36"/>
        <v>28.833333333333332</v>
      </c>
      <c r="C358" s="40">
        <f t="shared" si="37"/>
        <v>0</v>
      </c>
      <c r="D358" s="40">
        <f t="shared" si="38"/>
        <v>0</v>
      </c>
      <c r="E358" s="40">
        <f t="shared" si="39"/>
        <v>0</v>
      </c>
      <c r="F358" s="40">
        <f t="shared" si="40"/>
        <v>0</v>
      </c>
      <c r="G358" s="41" t="str">
        <f t="shared" si="41"/>
        <v>Agotado</v>
      </c>
    </row>
    <row r="359" spans="1:7" x14ac:dyDescent="0.2">
      <c r="A359" s="15">
        <f t="shared" si="35"/>
        <v>347</v>
      </c>
      <c r="B359" s="16">
        <f t="shared" si="36"/>
        <v>28.916666666666668</v>
      </c>
      <c r="C359" s="17">
        <f t="shared" si="37"/>
        <v>0</v>
      </c>
      <c r="D359" s="17">
        <f t="shared" si="38"/>
        <v>0</v>
      </c>
      <c r="E359" s="17">
        <f t="shared" si="39"/>
        <v>0</v>
      </c>
      <c r="F359" s="17">
        <f t="shared" si="40"/>
        <v>0</v>
      </c>
      <c r="G359" s="37" t="str">
        <f t="shared" si="41"/>
        <v>Agotado</v>
      </c>
    </row>
    <row r="360" spans="1:7" x14ac:dyDescent="0.2">
      <c r="A360" s="38">
        <f t="shared" si="35"/>
        <v>348</v>
      </c>
      <c r="B360" s="39">
        <f t="shared" si="36"/>
        <v>29</v>
      </c>
      <c r="C360" s="40">
        <f t="shared" si="37"/>
        <v>0</v>
      </c>
      <c r="D360" s="40">
        <f t="shared" si="38"/>
        <v>0</v>
      </c>
      <c r="E360" s="40">
        <f t="shared" si="39"/>
        <v>0</v>
      </c>
      <c r="F360" s="40">
        <f t="shared" si="40"/>
        <v>0</v>
      </c>
      <c r="G360" s="41" t="str">
        <f t="shared" si="41"/>
        <v>Agotado</v>
      </c>
    </row>
    <row r="361" spans="1:7" x14ac:dyDescent="0.2">
      <c r="A361" s="15">
        <f t="shared" si="35"/>
        <v>349</v>
      </c>
      <c r="B361" s="16">
        <f t="shared" si="36"/>
        <v>29.083333333333332</v>
      </c>
      <c r="C361" s="17">
        <f t="shared" si="37"/>
        <v>0</v>
      </c>
      <c r="D361" s="17">
        <f t="shared" si="38"/>
        <v>0</v>
      </c>
      <c r="E361" s="17">
        <f t="shared" si="39"/>
        <v>0</v>
      </c>
      <c r="F361" s="17">
        <f t="shared" si="40"/>
        <v>0</v>
      </c>
      <c r="G361" s="37" t="str">
        <f t="shared" si="41"/>
        <v>Agotado</v>
      </c>
    </row>
    <row r="362" spans="1:7" x14ac:dyDescent="0.2">
      <c r="A362" s="38">
        <f t="shared" si="35"/>
        <v>350</v>
      </c>
      <c r="B362" s="39">
        <f t="shared" si="36"/>
        <v>29.166666666666668</v>
      </c>
      <c r="C362" s="40">
        <f t="shared" si="37"/>
        <v>0</v>
      </c>
      <c r="D362" s="40">
        <f t="shared" si="38"/>
        <v>0</v>
      </c>
      <c r="E362" s="40">
        <f t="shared" si="39"/>
        <v>0</v>
      </c>
      <c r="F362" s="40">
        <f t="shared" si="40"/>
        <v>0</v>
      </c>
      <c r="G362" s="41" t="str">
        <f t="shared" si="41"/>
        <v>Agotado</v>
      </c>
    </row>
    <row r="363" spans="1:7" x14ac:dyDescent="0.2">
      <c r="A363" s="15">
        <f t="shared" si="35"/>
        <v>351</v>
      </c>
      <c r="B363" s="16">
        <f t="shared" si="36"/>
        <v>29.25</v>
      </c>
      <c r="C363" s="17">
        <f t="shared" si="37"/>
        <v>0</v>
      </c>
      <c r="D363" s="17">
        <f t="shared" si="38"/>
        <v>0</v>
      </c>
      <c r="E363" s="17">
        <f t="shared" si="39"/>
        <v>0</v>
      </c>
      <c r="F363" s="17">
        <f t="shared" si="40"/>
        <v>0</v>
      </c>
      <c r="G363" s="37" t="str">
        <f t="shared" si="41"/>
        <v>Agotado</v>
      </c>
    </row>
    <row r="364" spans="1:7" x14ac:dyDescent="0.2">
      <c r="A364" s="38">
        <f t="shared" si="35"/>
        <v>352</v>
      </c>
      <c r="B364" s="39">
        <f t="shared" si="36"/>
        <v>29.333333333333332</v>
      </c>
      <c r="C364" s="40">
        <f t="shared" si="37"/>
        <v>0</v>
      </c>
      <c r="D364" s="40">
        <f t="shared" si="38"/>
        <v>0</v>
      </c>
      <c r="E364" s="40">
        <f t="shared" si="39"/>
        <v>0</v>
      </c>
      <c r="F364" s="40">
        <f t="shared" si="40"/>
        <v>0</v>
      </c>
      <c r="G364" s="41" t="str">
        <f t="shared" si="41"/>
        <v>Agotado</v>
      </c>
    </row>
    <row r="365" spans="1:7" x14ac:dyDescent="0.2">
      <c r="A365" s="15">
        <f t="shared" si="35"/>
        <v>353</v>
      </c>
      <c r="B365" s="16">
        <f t="shared" si="36"/>
        <v>29.416666666666668</v>
      </c>
      <c r="C365" s="17">
        <f t="shared" si="37"/>
        <v>0</v>
      </c>
      <c r="D365" s="17">
        <f t="shared" si="38"/>
        <v>0</v>
      </c>
      <c r="E365" s="17">
        <f t="shared" si="39"/>
        <v>0</v>
      </c>
      <c r="F365" s="17">
        <f t="shared" si="40"/>
        <v>0</v>
      </c>
      <c r="G365" s="37" t="str">
        <f t="shared" si="41"/>
        <v>Agotado</v>
      </c>
    </row>
    <row r="366" spans="1:7" x14ac:dyDescent="0.2">
      <c r="A366" s="38">
        <f t="shared" si="35"/>
        <v>354</v>
      </c>
      <c r="B366" s="39">
        <f t="shared" si="36"/>
        <v>29.5</v>
      </c>
      <c r="C366" s="40">
        <f t="shared" si="37"/>
        <v>0</v>
      </c>
      <c r="D366" s="40">
        <f t="shared" si="38"/>
        <v>0</v>
      </c>
      <c r="E366" s="40">
        <f t="shared" si="39"/>
        <v>0</v>
      </c>
      <c r="F366" s="40">
        <f t="shared" si="40"/>
        <v>0</v>
      </c>
      <c r="G366" s="41" t="str">
        <f t="shared" si="41"/>
        <v>Agotado</v>
      </c>
    </row>
    <row r="367" spans="1:7" x14ac:dyDescent="0.2">
      <c r="A367" s="15">
        <f t="shared" si="35"/>
        <v>355</v>
      </c>
      <c r="B367" s="16">
        <f t="shared" si="36"/>
        <v>29.583333333333332</v>
      </c>
      <c r="C367" s="17">
        <f t="shared" si="37"/>
        <v>0</v>
      </c>
      <c r="D367" s="17">
        <f t="shared" si="38"/>
        <v>0</v>
      </c>
      <c r="E367" s="17">
        <f t="shared" si="39"/>
        <v>0</v>
      </c>
      <c r="F367" s="17">
        <f t="shared" si="40"/>
        <v>0</v>
      </c>
      <c r="G367" s="37" t="str">
        <f t="shared" si="41"/>
        <v>Agotado</v>
      </c>
    </row>
    <row r="368" spans="1:7" x14ac:dyDescent="0.2">
      <c r="A368" s="38">
        <f t="shared" si="35"/>
        <v>356</v>
      </c>
      <c r="B368" s="39">
        <f t="shared" si="36"/>
        <v>29.666666666666668</v>
      </c>
      <c r="C368" s="40">
        <f t="shared" si="37"/>
        <v>0</v>
      </c>
      <c r="D368" s="40">
        <f t="shared" si="38"/>
        <v>0</v>
      </c>
      <c r="E368" s="40">
        <f t="shared" si="39"/>
        <v>0</v>
      </c>
      <c r="F368" s="40">
        <f t="shared" si="40"/>
        <v>0</v>
      </c>
      <c r="G368" s="41" t="str">
        <f t="shared" si="41"/>
        <v>Agotado</v>
      </c>
    </row>
    <row r="369" spans="1:7" x14ac:dyDescent="0.2">
      <c r="A369" s="15">
        <f t="shared" si="35"/>
        <v>357</v>
      </c>
      <c r="B369" s="16">
        <f t="shared" si="36"/>
        <v>29.75</v>
      </c>
      <c r="C369" s="17">
        <f t="shared" si="37"/>
        <v>0</v>
      </c>
      <c r="D369" s="17">
        <f t="shared" si="38"/>
        <v>0</v>
      </c>
      <c r="E369" s="17">
        <f t="shared" si="39"/>
        <v>0</v>
      </c>
      <c r="F369" s="17">
        <f t="shared" si="40"/>
        <v>0</v>
      </c>
      <c r="G369" s="37" t="str">
        <f t="shared" si="41"/>
        <v>Agotado</v>
      </c>
    </row>
    <row r="370" spans="1:7" x14ac:dyDescent="0.2">
      <c r="A370" s="38">
        <f t="shared" si="35"/>
        <v>358</v>
      </c>
      <c r="B370" s="39">
        <f t="shared" si="36"/>
        <v>29.833333333333332</v>
      </c>
      <c r="C370" s="40">
        <f t="shared" si="37"/>
        <v>0</v>
      </c>
      <c r="D370" s="40">
        <f t="shared" si="38"/>
        <v>0</v>
      </c>
      <c r="E370" s="40">
        <f t="shared" si="39"/>
        <v>0</v>
      </c>
      <c r="F370" s="40">
        <f t="shared" si="40"/>
        <v>0</v>
      </c>
      <c r="G370" s="41" t="str">
        <f t="shared" si="41"/>
        <v>Agotado</v>
      </c>
    </row>
    <row r="371" spans="1:7" x14ac:dyDescent="0.2">
      <c r="A371" s="15">
        <f t="shared" si="35"/>
        <v>359</v>
      </c>
      <c r="B371" s="16">
        <f t="shared" si="36"/>
        <v>29.916666666666668</v>
      </c>
      <c r="C371" s="17">
        <f t="shared" si="37"/>
        <v>0</v>
      </c>
      <c r="D371" s="17">
        <f t="shared" si="38"/>
        <v>0</v>
      </c>
      <c r="E371" s="17">
        <f t="shared" si="39"/>
        <v>0</v>
      </c>
      <c r="F371" s="17">
        <f t="shared" si="40"/>
        <v>0</v>
      </c>
      <c r="G371" s="37" t="str">
        <f t="shared" si="41"/>
        <v>Agotado</v>
      </c>
    </row>
    <row r="372" spans="1:7" x14ac:dyDescent="0.2">
      <c r="A372" s="38">
        <f t="shared" si="35"/>
        <v>360</v>
      </c>
      <c r="B372" s="39">
        <f t="shared" si="36"/>
        <v>30</v>
      </c>
      <c r="C372" s="40">
        <f t="shared" si="37"/>
        <v>0</v>
      </c>
      <c r="D372" s="40">
        <f t="shared" si="38"/>
        <v>0</v>
      </c>
      <c r="E372" s="40">
        <f t="shared" si="39"/>
        <v>0</v>
      </c>
      <c r="F372" s="40">
        <f t="shared" si="40"/>
        <v>0</v>
      </c>
      <c r="G372" s="41" t="str">
        <f t="shared" si="41"/>
        <v>Agotado</v>
      </c>
    </row>
  </sheetData>
  <mergeCells count="9">
    <mergeCell ref="A9:G9"/>
    <mergeCell ref="A10:G10"/>
    <mergeCell ref="A1:G1"/>
    <mergeCell ref="A2:G2"/>
    <mergeCell ref="A4:G4"/>
    <mergeCell ref="D5:E5"/>
    <mergeCell ref="F5:G5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Inicio</vt:lpstr>
      <vt:lpstr>Proyección</vt:lpstr>
      <vt:lpstr>Magic Number</vt:lpstr>
      <vt:lpstr>Retiro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Amui, Federico</dc:creator>
  <cp:lastModifiedBy>Amui, Federico</cp:lastModifiedBy>
  <dcterms:created xsi:type="dcterms:W3CDTF">2026-08-23T15:33:34Z</dcterms:created>
  <dcterms:modified xsi:type="dcterms:W3CDTF">2026-08-23T16:02:21Z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2026-08-23T16:01:53Z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6baf2243-b177-429f-ba93-38a63205ffd0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